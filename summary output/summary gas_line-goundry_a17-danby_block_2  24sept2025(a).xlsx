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0F6C9EDA-3F91-4CBD-804D-2E85895388B4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full_spp_list" sheetId="1" r:id="rId1"/>
    <sheet name="summary of richness" sheetId="2" r:id="rId2"/>
    <sheet name="list of species" sheetId="3" r:id="rId3"/>
    <sheet name="percent point occupancy" sheetId="4" r:id="rId4"/>
    <sheet name="top spec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H35" i="5"/>
  <c r="G35" i="5"/>
  <c r="H28" i="5"/>
  <c r="G28" i="5"/>
  <c r="F28" i="5"/>
  <c r="F22" i="5"/>
  <c r="H22" i="5"/>
  <c r="G22" i="5"/>
  <c r="G15" i="5"/>
  <c r="H15" i="5"/>
  <c r="F15" i="5"/>
</calcChain>
</file>

<file path=xl/sharedStrings.xml><?xml version="1.0" encoding="utf-8"?>
<sst xmlns="http://schemas.openxmlformats.org/spreadsheetml/2006/main" count="985" uniqueCount="112">
  <si>
    <t>filename</t>
  </si>
  <si>
    <t>df</t>
  </si>
  <si>
    <t>stand</t>
  </si>
  <si>
    <t>forest_type</t>
  </si>
  <si>
    <t>growingseasons</t>
  </si>
  <si>
    <t>brush</t>
  </si>
  <si>
    <t>trmt</t>
  </si>
  <si>
    <t>spp</t>
  </si>
  <si>
    <t>type</t>
  </si>
  <si>
    <t>upperexposed</t>
  </si>
  <si>
    <t>GTR5ft</t>
  </si>
  <si>
    <t>GTR1ft</t>
  </si>
  <si>
    <t>all_sizes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</si>
  <si>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</si>
  <si>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</si>
  <si>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</si>
  <si>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</si>
  <si>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</si>
  <si>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</si>
  <si>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</si>
  <si>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</si>
  <si>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n_forest_type</t>
  </si>
  <si>
    <t>stems_per_ramet</t>
  </si>
  <si>
    <t>slash_wall_analyses_2025(by stand)</t>
  </si>
  <si>
    <t>FT_calc2</t>
  </si>
  <si>
    <t xml:space="preserve">gas_line,goundry_a17,danby_block_2 </t>
  </si>
  <si>
    <t>n_hdwd</t>
  </si>
  <si>
    <t>brushed</t>
  </si>
  <si>
    <t>control</t>
  </si>
  <si>
    <t>bc</t>
  </si>
  <si>
    <t>commercial</t>
  </si>
  <si>
    <t>rm</t>
  </si>
  <si>
    <t>ro</t>
  </si>
  <si>
    <t>sm</t>
  </si>
  <si>
    <t>wa</t>
  </si>
  <si>
    <t>wp</t>
  </si>
  <si>
    <t>bta</t>
  </si>
  <si>
    <t>diversity</t>
  </si>
  <si>
    <t>haw</t>
  </si>
  <si>
    <t>pb</t>
  </si>
  <si>
    <t>qa</t>
  </si>
  <si>
    <t>svb</t>
  </si>
  <si>
    <t>ab</t>
  </si>
  <si>
    <t>interfere</t>
  </si>
  <si>
    <t>eh</t>
  </si>
  <si>
    <t>pc</t>
  </si>
  <si>
    <t>stm</t>
  </si>
  <si>
    <t>ah</t>
  </si>
  <si>
    <t>other</t>
  </si>
  <si>
    <t>cc</t>
  </si>
  <si>
    <t>sb</t>
  </si>
  <si>
    <t>protected</t>
  </si>
  <si>
    <t>ba</t>
  </si>
  <si>
    <t>bl</t>
  </si>
  <si>
    <t>he</t>
  </si>
  <si>
    <t>yp</t>
  </si>
  <si>
    <t>la</t>
  </si>
  <si>
    <t>ns</t>
  </si>
  <si>
    <t>rp</t>
  </si>
  <si>
    <t>smc</t>
  </si>
  <si>
    <t>wi</t>
  </si>
  <si>
    <t>unk</t>
  </si>
  <si>
    <t>unbrushed</t>
  </si>
  <si>
    <t>ph</t>
  </si>
  <si>
    <t>sh</t>
  </si>
  <si>
    <t>erc</t>
  </si>
  <si>
    <t>ows</t>
  </si>
  <si>
    <t>wh</t>
  </si>
  <si>
    <t>oak_hdwd</t>
  </si>
  <si>
    <t>sa</t>
  </si>
  <si>
    <t>yb</t>
  </si>
  <si>
    <t>amc</t>
  </si>
  <si>
    <t>species_present</t>
  </si>
  <si>
    <t>ab, ah, bc, bta, cc, eh, pb, pc, qa, rm, ro, sb, stm, svb, wa</t>
  </si>
  <si>
    <t>ab, ah, bc, eh, ows, pc, ph, rm, ro, sb, sh, stm, svb, wa, wh, wp</t>
  </si>
  <si>
    <t>ab, ba, bc, bl, bta, cc, eh, he, ns, pb, pc, qa, rm, ro, rp, sb, sm, smc, stm, svb, unk, wa, wi, wp, yp</t>
  </si>
  <si>
    <t>ab, ah, amc, bc, bl, bta, eh, haw, he, pb, pc, ph, qa, rm, ro, sa, sb, sm, stm, svb, wa, wi, yb</t>
  </si>
  <si>
    <t>occup_any_count</t>
  </si>
  <si>
    <t>occup_GTR1ft_count</t>
  </si>
  <si>
    <t>occup_GTR5ft_count</t>
  </si>
  <si>
    <t>forest_type_occupancy PCT of points</t>
  </si>
  <si>
    <t>date</t>
  </si>
  <si>
    <t>dummy</t>
  </si>
  <si>
    <t>total</t>
  </si>
  <si>
    <t>TOTAL</t>
  </si>
  <si>
    <t>final_result</t>
  </si>
  <si>
    <t>all_sizes (stems/acre)</t>
  </si>
  <si>
    <t>GTR 1 ft tall (stems/acre)</t>
  </si>
  <si>
    <t>GTR 5 ft (stems/acre)</t>
  </si>
  <si>
    <t>GTR 5 ft exposed (stems/acre)</t>
  </si>
  <si>
    <t>Forest Type</t>
  </si>
  <si>
    <t>N Hdwds</t>
  </si>
  <si>
    <t>Oak-Mixed</t>
  </si>
  <si>
    <t>(danby)</t>
  </si>
  <si>
    <t>(goundry)</t>
  </si>
  <si>
    <t>(gas line)</t>
  </si>
  <si>
    <t>gas line</t>
  </si>
  <si>
    <t>Type Summary in Gas_Line and Other after 7 Growing Seasons</t>
  </si>
  <si>
    <t xml:space="preserve">% Points Occupied (any size) </t>
  </si>
  <si>
    <t xml:space="preserve">% Points Occupied (GTR 1 ft) </t>
  </si>
  <si>
    <t>% Points Occupied (GTR 5 ft)</t>
  </si>
  <si>
    <t>goundry</t>
  </si>
  <si>
    <t>gas_line</t>
  </si>
  <si>
    <t>danby</t>
  </si>
  <si>
    <t>richness_summ</t>
  </si>
  <si>
    <t>growing seasons</t>
  </si>
  <si>
    <t>richness_all_sizes (# of woody spp)</t>
  </si>
  <si>
    <t>richness_GTR1ft  (# of woody spp)</t>
  </si>
  <si>
    <t>richness_GTR5ft  (# of woody spp)</t>
  </si>
  <si>
    <t># Woody Species by Treatment and Brushing for Gas_Line &amp; Other</t>
  </si>
  <si>
    <t>growing season</t>
  </si>
  <si>
    <t>% Sample Points Occupied by Species-Type by Treatment and Brushing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</si>
</sst>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 wrapText="1"/>
    </xf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textRotation="90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0" fillId="0" borderId="3" xfId="0" applyNumberFormat="1" applyBorder="1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7</v>
      </c>
      <c r="F2" t="s">
        <v>27</v>
      </c>
      <c r="G2" t="s">
        <v>28</v>
      </c>
      <c r="H2" t="s">
        <v>29</v>
      </c>
      <c r="I2" t="s">
        <v>30</v>
      </c>
      <c r="J2">
        <v>196</v>
      </c>
      <c r="K2">
        <v>199</v>
      </c>
      <c r="L2">
        <v>681</v>
      </c>
      <c r="M2">
        <v>681</v>
      </c>
      <c r="N2">
        <v>0</v>
      </c>
      <c r="O2">
        <v>0</v>
      </c>
      <c r="P2">
        <v>169</v>
      </c>
      <c r="Q2">
        <v>0</v>
      </c>
      <c r="R2">
        <v>3</v>
      </c>
      <c r="S2">
        <v>313</v>
      </c>
      <c r="T2">
        <v>193</v>
      </c>
      <c r="U2">
        <v>3</v>
      </c>
      <c r="V2">
        <v>16</v>
      </c>
      <c r="W2">
        <v>0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>
        <v>7</v>
      </c>
      <c r="F3" t="s">
        <v>27</v>
      </c>
      <c r="G3" t="s">
        <v>28</v>
      </c>
      <c r="H3" t="s">
        <v>31</v>
      </c>
      <c r="I3" t="s">
        <v>30</v>
      </c>
      <c r="J3">
        <v>1571</v>
      </c>
      <c r="K3">
        <v>1842</v>
      </c>
      <c r="L3">
        <v>2708</v>
      </c>
      <c r="M3">
        <v>3721</v>
      </c>
      <c r="N3">
        <v>243</v>
      </c>
      <c r="O3">
        <v>1013</v>
      </c>
      <c r="P3">
        <v>265</v>
      </c>
      <c r="Q3">
        <v>0</v>
      </c>
      <c r="R3">
        <v>271</v>
      </c>
      <c r="S3">
        <v>602</v>
      </c>
      <c r="T3">
        <v>1300</v>
      </c>
      <c r="U3">
        <v>271</v>
      </c>
      <c r="V3">
        <v>16</v>
      </c>
      <c r="W3">
        <v>3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>
        <v>7</v>
      </c>
      <c r="F4" t="s">
        <v>27</v>
      </c>
      <c r="G4" t="s">
        <v>28</v>
      </c>
      <c r="H4" t="s">
        <v>32</v>
      </c>
      <c r="I4" t="s">
        <v>30</v>
      </c>
      <c r="J4">
        <v>89</v>
      </c>
      <c r="K4">
        <v>106</v>
      </c>
      <c r="L4">
        <v>900</v>
      </c>
      <c r="M4">
        <v>1660</v>
      </c>
      <c r="N4">
        <v>27</v>
      </c>
      <c r="O4">
        <v>760</v>
      </c>
      <c r="P4">
        <v>313</v>
      </c>
      <c r="Q4">
        <v>0</v>
      </c>
      <c r="R4">
        <v>17</v>
      </c>
      <c r="S4">
        <v>481</v>
      </c>
      <c r="T4">
        <v>72</v>
      </c>
      <c r="U4">
        <v>17</v>
      </c>
      <c r="V4">
        <v>16</v>
      </c>
      <c r="W4">
        <v>0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>
        <v>7</v>
      </c>
      <c r="F5" t="s">
        <v>27</v>
      </c>
      <c r="G5" t="s">
        <v>28</v>
      </c>
      <c r="H5" t="s">
        <v>33</v>
      </c>
      <c r="I5" t="s">
        <v>30</v>
      </c>
      <c r="J5">
        <v>0</v>
      </c>
      <c r="K5">
        <v>0</v>
      </c>
      <c r="L5">
        <v>48</v>
      </c>
      <c r="M5">
        <v>301</v>
      </c>
      <c r="N5">
        <v>0</v>
      </c>
      <c r="O5">
        <v>253</v>
      </c>
      <c r="P5">
        <v>48</v>
      </c>
      <c r="Q5">
        <v>0</v>
      </c>
      <c r="R5">
        <v>0</v>
      </c>
      <c r="S5">
        <v>0</v>
      </c>
      <c r="T5">
        <v>0</v>
      </c>
      <c r="U5">
        <v>0</v>
      </c>
      <c r="V5">
        <v>16</v>
      </c>
      <c r="W5">
        <v>0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>
        <v>7</v>
      </c>
      <c r="F6" t="s">
        <v>27</v>
      </c>
      <c r="G6" t="s">
        <v>28</v>
      </c>
      <c r="H6" t="s">
        <v>34</v>
      </c>
      <c r="I6" t="s">
        <v>30</v>
      </c>
      <c r="J6">
        <v>241</v>
      </c>
      <c r="K6">
        <v>241</v>
      </c>
      <c r="L6">
        <v>1300</v>
      </c>
      <c r="M6">
        <v>1553</v>
      </c>
      <c r="N6">
        <v>48</v>
      </c>
      <c r="O6">
        <v>253</v>
      </c>
      <c r="P6">
        <v>530</v>
      </c>
      <c r="Q6">
        <v>0</v>
      </c>
      <c r="R6">
        <v>0</v>
      </c>
      <c r="S6">
        <v>530</v>
      </c>
      <c r="T6">
        <v>241</v>
      </c>
      <c r="U6">
        <v>0</v>
      </c>
      <c r="V6">
        <v>16</v>
      </c>
      <c r="W6">
        <v>0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>
        <v>7</v>
      </c>
      <c r="F7" t="s">
        <v>27</v>
      </c>
      <c r="G7" t="s">
        <v>28</v>
      </c>
      <c r="H7" t="s">
        <v>35</v>
      </c>
      <c r="I7" t="s">
        <v>30</v>
      </c>
      <c r="J7">
        <v>0</v>
      </c>
      <c r="K7">
        <v>0</v>
      </c>
      <c r="L7">
        <v>265</v>
      </c>
      <c r="M7">
        <v>391</v>
      </c>
      <c r="N7">
        <v>0</v>
      </c>
      <c r="O7">
        <v>127</v>
      </c>
      <c r="P7">
        <v>120</v>
      </c>
      <c r="Q7">
        <v>0</v>
      </c>
      <c r="R7">
        <v>0</v>
      </c>
      <c r="S7">
        <v>144</v>
      </c>
      <c r="T7">
        <v>0</v>
      </c>
      <c r="U7">
        <v>0</v>
      </c>
      <c r="V7">
        <v>16</v>
      </c>
      <c r="W7">
        <v>0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>
        <v>7</v>
      </c>
      <c r="F8" t="s">
        <v>27</v>
      </c>
      <c r="G8" t="s">
        <v>28</v>
      </c>
      <c r="H8" t="s">
        <v>36</v>
      </c>
      <c r="I8" t="s">
        <v>37</v>
      </c>
      <c r="J8">
        <v>120</v>
      </c>
      <c r="K8">
        <v>120</v>
      </c>
      <c r="L8">
        <v>241</v>
      </c>
      <c r="M8">
        <v>367</v>
      </c>
      <c r="N8">
        <v>0</v>
      </c>
      <c r="O8">
        <v>127</v>
      </c>
      <c r="P8">
        <v>48</v>
      </c>
      <c r="Q8">
        <v>0</v>
      </c>
      <c r="R8">
        <v>0</v>
      </c>
      <c r="S8">
        <v>72</v>
      </c>
      <c r="T8">
        <v>120</v>
      </c>
      <c r="U8">
        <v>0</v>
      </c>
      <c r="V8">
        <v>16</v>
      </c>
      <c r="W8">
        <v>0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>
        <v>7</v>
      </c>
      <c r="F9" t="s">
        <v>27</v>
      </c>
      <c r="G9" t="s">
        <v>28</v>
      </c>
      <c r="H9" t="s">
        <v>38</v>
      </c>
      <c r="I9" t="s">
        <v>37</v>
      </c>
      <c r="J9">
        <v>0</v>
      </c>
      <c r="K9">
        <v>0</v>
      </c>
      <c r="L9">
        <v>72</v>
      </c>
      <c r="M9">
        <v>72</v>
      </c>
      <c r="N9">
        <v>0</v>
      </c>
      <c r="O9">
        <v>0</v>
      </c>
      <c r="P9">
        <v>72</v>
      </c>
      <c r="Q9">
        <v>0</v>
      </c>
      <c r="R9">
        <v>0</v>
      </c>
      <c r="S9">
        <v>0</v>
      </c>
      <c r="T9">
        <v>0</v>
      </c>
      <c r="U9">
        <v>0</v>
      </c>
      <c r="V9">
        <v>16</v>
      </c>
      <c r="W9">
        <v>0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>
        <v>7</v>
      </c>
      <c r="F10" t="s">
        <v>27</v>
      </c>
      <c r="G10" t="s">
        <v>28</v>
      </c>
      <c r="H10" t="s">
        <v>39</v>
      </c>
      <c r="I10" t="s">
        <v>37</v>
      </c>
      <c r="J10">
        <v>79</v>
      </c>
      <c r="K10">
        <v>86</v>
      </c>
      <c r="L10">
        <v>134</v>
      </c>
      <c r="M10">
        <v>134</v>
      </c>
      <c r="N10">
        <v>0</v>
      </c>
      <c r="O10">
        <v>0</v>
      </c>
      <c r="P10">
        <v>24</v>
      </c>
      <c r="Q10">
        <v>0</v>
      </c>
      <c r="R10">
        <v>7</v>
      </c>
      <c r="S10">
        <v>24</v>
      </c>
      <c r="T10">
        <v>72</v>
      </c>
      <c r="U10">
        <v>7</v>
      </c>
      <c r="V10">
        <v>16</v>
      </c>
      <c r="W10">
        <v>0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>
        <v>7</v>
      </c>
      <c r="F11" t="s">
        <v>27</v>
      </c>
      <c r="G11" t="s">
        <v>28</v>
      </c>
      <c r="H11" t="s">
        <v>40</v>
      </c>
      <c r="I11" t="s">
        <v>37</v>
      </c>
      <c r="J11">
        <v>217</v>
      </c>
      <c r="K11">
        <v>217</v>
      </c>
      <c r="L11">
        <v>818</v>
      </c>
      <c r="M11">
        <v>818</v>
      </c>
      <c r="N11">
        <v>0</v>
      </c>
      <c r="O11">
        <v>0</v>
      </c>
      <c r="P11">
        <v>144</v>
      </c>
      <c r="Q11">
        <v>0</v>
      </c>
      <c r="R11">
        <v>0</v>
      </c>
      <c r="S11">
        <v>457</v>
      </c>
      <c r="T11">
        <v>217</v>
      </c>
      <c r="U11">
        <v>0</v>
      </c>
      <c r="V11">
        <v>16</v>
      </c>
      <c r="W11">
        <v>0</v>
      </c>
    </row>
    <row r="12" spans="1:23" x14ac:dyDescent="0.25">
      <c r="A12" t="s">
        <v>23</v>
      </c>
      <c r="B12" t="s">
        <v>24</v>
      </c>
      <c r="C12" t="s">
        <v>25</v>
      </c>
      <c r="D12" t="s">
        <v>26</v>
      </c>
      <c r="E12">
        <v>7</v>
      </c>
      <c r="F12" t="s">
        <v>27</v>
      </c>
      <c r="G12" t="s">
        <v>28</v>
      </c>
      <c r="H12" t="s">
        <v>41</v>
      </c>
      <c r="I12" t="s">
        <v>37</v>
      </c>
      <c r="J12">
        <v>72</v>
      </c>
      <c r="K12">
        <v>72</v>
      </c>
      <c r="L12">
        <v>674</v>
      </c>
      <c r="M12">
        <v>674</v>
      </c>
      <c r="N12">
        <v>0</v>
      </c>
      <c r="O12">
        <v>0</v>
      </c>
      <c r="P12">
        <v>169</v>
      </c>
      <c r="Q12">
        <v>0</v>
      </c>
      <c r="R12">
        <v>0</v>
      </c>
      <c r="S12">
        <v>433</v>
      </c>
      <c r="T12">
        <v>72</v>
      </c>
      <c r="U12">
        <v>0</v>
      </c>
      <c r="V12">
        <v>16</v>
      </c>
      <c r="W12">
        <v>0</v>
      </c>
    </row>
    <row r="13" spans="1:23" x14ac:dyDescent="0.25">
      <c r="A13" t="s">
        <v>23</v>
      </c>
      <c r="B13" t="s">
        <v>24</v>
      </c>
      <c r="C13" t="s">
        <v>25</v>
      </c>
      <c r="D13" t="s">
        <v>26</v>
      </c>
      <c r="E13">
        <v>7</v>
      </c>
      <c r="F13" t="s">
        <v>27</v>
      </c>
      <c r="G13" t="s">
        <v>28</v>
      </c>
      <c r="H13" t="s">
        <v>42</v>
      </c>
      <c r="I13" t="s">
        <v>43</v>
      </c>
      <c r="J13">
        <v>1447</v>
      </c>
      <c r="K13">
        <v>1474</v>
      </c>
      <c r="L13">
        <v>4315</v>
      </c>
      <c r="M13">
        <v>4315</v>
      </c>
      <c r="N13">
        <v>677</v>
      </c>
      <c r="O13">
        <v>0</v>
      </c>
      <c r="P13">
        <v>650</v>
      </c>
      <c r="Q13">
        <v>0</v>
      </c>
      <c r="R13">
        <v>27</v>
      </c>
      <c r="S13">
        <v>2191</v>
      </c>
      <c r="T13">
        <v>1420</v>
      </c>
      <c r="U13">
        <v>27</v>
      </c>
      <c r="V13">
        <v>16</v>
      </c>
      <c r="W13">
        <v>3</v>
      </c>
    </row>
    <row r="14" spans="1:23" x14ac:dyDescent="0.25">
      <c r="A14" t="s">
        <v>23</v>
      </c>
      <c r="B14" t="s">
        <v>24</v>
      </c>
      <c r="C14" t="s">
        <v>25</v>
      </c>
      <c r="D14" t="s">
        <v>26</v>
      </c>
      <c r="E14">
        <v>7</v>
      </c>
      <c r="F14" t="s">
        <v>27</v>
      </c>
      <c r="G14" t="s">
        <v>28</v>
      </c>
      <c r="H14" t="s">
        <v>44</v>
      </c>
      <c r="I14" t="s">
        <v>43</v>
      </c>
      <c r="J14">
        <v>131</v>
      </c>
      <c r="K14">
        <v>141</v>
      </c>
      <c r="L14">
        <v>333</v>
      </c>
      <c r="M14">
        <v>333</v>
      </c>
      <c r="N14">
        <v>27</v>
      </c>
      <c r="O14">
        <v>0</v>
      </c>
      <c r="P14">
        <v>0</v>
      </c>
      <c r="Q14">
        <v>0</v>
      </c>
      <c r="R14">
        <v>10</v>
      </c>
      <c r="S14">
        <v>193</v>
      </c>
      <c r="T14">
        <v>120</v>
      </c>
      <c r="U14">
        <v>10</v>
      </c>
      <c r="V14">
        <v>16</v>
      </c>
      <c r="W14">
        <v>0</v>
      </c>
    </row>
    <row r="15" spans="1:23" x14ac:dyDescent="0.25">
      <c r="A15" t="s">
        <v>23</v>
      </c>
      <c r="B15" t="s">
        <v>24</v>
      </c>
      <c r="C15" t="s">
        <v>25</v>
      </c>
      <c r="D15" t="s">
        <v>26</v>
      </c>
      <c r="E15">
        <v>7</v>
      </c>
      <c r="F15" t="s">
        <v>27</v>
      </c>
      <c r="G15" t="s">
        <v>28</v>
      </c>
      <c r="H15" t="s">
        <v>45</v>
      </c>
      <c r="I15" t="s">
        <v>43</v>
      </c>
      <c r="J15">
        <v>3</v>
      </c>
      <c r="K15">
        <v>7</v>
      </c>
      <c r="L15">
        <v>31</v>
      </c>
      <c r="M15">
        <v>31</v>
      </c>
      <c r="N15">
        <v>0</v>
      </c>
      <c r="O15">
        <v>0</v>
      </c>
      <c r="P15">
        <v>24</v>
      </c>
      <c r="Q15">
        <v>0</v>
      </c>
      <c r="R15">
        <v>3</v>
      </c>
      <c r="S15">
        <v>0</v>
      </c>
      <c r="T15">
        <v>0</v>
      </c>
      <c r="U15">
        <v>3</v>
      </c>
      <c r="V15">
        <v>16</v>
      </c>
      <c r="W15">
        <v>0</v>
      </c>
    </row>
    <row r="16" spans="1:23" x14ac:dyDescent="0.25">
      <c r="A16" t="s">
        <v>23</v>
      </c>
      <c r="B16" t="s">
        <v>24</v>
      </c>
      <c r="C16" t="s">
        <v>25</v>
      </c>
      <c r="D16" t="s">
        <v>26</v>
      </c>
      <c r="E16">
        <v>7</v>
      </c>
      <c r="F16" t="s">
        <v>27</v>
      </c>
      <c r="G16" t="s">
        <v>28</v>
      </c>
      <c r="H16" t="s">
        <v>46</v>
      </c>
      <c r="I16" t="s">
        <v>43</v>
      </c>
      <c r="J16">
        <v>467</v>
      </c>
      <c r="K16">
        <v>524</v>
      </c>
      <c r="L16">
        <v>621</v>
      </c>
      <c r="M16">
        <v>621</v>
      </c>
      <c r="N16">
        <v>161</v>
      </c>
      <c r="O16">
        <v>0</v>
      </c>
      <c r="P16">
        <v>0</v>
      </c>
      <c r="Q16">
        <v>0</v>
      </c>
      <c r="R16">
        <v>58</v>
      </c>
      <c r="S16">
        <v>96</v>
      </c>
      <c r="T16">
        <v>409</v>
      </c>
      <c r="U16">
        <v>58</v>
      </c>
      <c r="V16">
        <v>16</v>
      </c>
      <c r="W16">
        <v>0</v>
      </c>
    </row>
    <row r="17" spans="1:23" x14ac:dyDescent="0.25">
      <c r="A17" t="s">
        <v>23</v>
      </c>
      <c r="B17" t="s">
        <v>24</v>
      </c>
      <c r="C17" t="s">
        <v>25</v>
      </c>
      <c r="D17" t="s">
        <v>26</v>
      </c>
      <c r="E17">
        <v>7</v>
      </c>
      <c r="F17" t="s">
        <v>27</v>
      </c>
      <c r="G17" t="s">
        <v>28</v>
      </c>
      <c r="H17" t="s">
        <v>47</v>
      </c>
      <c r="I17" t="s">
        <v>48</v>
      </c>
      <c r="J17">
        <v>904</v>
      </c>
      <c r="K17">
        <v>918</v>
      </c>
      <c r="L17">
        <v>1303</v>
      </c>
      <c r="M17">
        <v>1303</v>
      </c>
      <c r="N17">
        <v>196</v>
      </c>
      <c r="O17">
        <v>0</v>
      </c>
      <c r="P17">
        <v>48</v>
      </c>
      <c r="Q17">
        <v>0</v>
      </c>
      <c r="R17">
        <v>14</v>
      </c>
      <c r="S17">
        <v>337</v>
      </c>
      <c r="T17">
        <v>891</v>
      </c>
      <c r="U17">
        <v>14</v>
      </c>
      <c r="V17">
        <v>16</v>
      </c>
      <c r="W17">
        <v>1</v>
      </c>
    </row>
    <row r="18" spans="1:23" x14ac:dyDescent="0.25">
      <c r="A18" t="s">
        <v>23</v>
      </c>
      <c r="B18" t="s">
        <v>24</v>
      </c>
      <c r="C18" t="s">
        <v>25</v>
      </c>
      <c r="D18" t="s">
        <v>26</v>
      </c>
      <c r="E18">
        <v>7</v>
      </c>
      <c r="F18" t="s">
        <v>27</v>
      </c>
      <c r="G18" t="s">
        <v>28</v>
      </c>
      <c r="H18" t="s">
        <v>49</v>
      </c>
      <c r="I18" t="s">
        <v>48</v>
      </c>
      <c r="J18">
        <v>17</v>
      </c>
      <c r="K18">
        <v>34</v>
      </c>
      <c r="L18">
        <v>34</v>
      </c>
      <c r="M18">
        <v>34</v>
      </c>
      <c r="N18">
        <v>3</v>
      </c>
      <c r="O18">
        <v>0</v>
      </c>
      <c r="P18">
        <v>0</v>
      </c>
      <c r="Q18">
        <v>0</v>
      </c>
      <c r="R18">
        <v>17</v>
      </c>
      <c r="S18">
        <v>0</v>
      </c>
      <c r="T18">
        <v>0</v>
      </c>
      <c r="U18">
        <v>17</v>
      </c>
      <c r="V18">
        <v>16</v>
      </c>
      <c r="W18">
        <v>0</v>
      </c>
    </row>
    <row r="19" spans="1:23" x14ac:dyDescent="0.25">
      <c r="A19" t="s">
        <v>23</v>
      </c>
      <c r="B19" t="s">
        <v>24</v>
      </c>
      <c r="C19" t="s">
        <v>25</v>
      </c>
      <c r="D19" t="s">
        <v>26</v>
      </c>
      <c r="E19">
        <v>7</v>
      </c>
      <c r="F19" t="s">
        <v>27</v>
      </c>
      <c r="G19" t="s">
        <v>28</v>
      </c>
      <c r="H19" t="s">
        <v>50</v>
      </c>
      <c r="I19" t="s">
        <v>50</v>
      </c>
      <c r="J19">
        <v>5089</v>
      </c>
      <c r="K19">
        <v>5170</v>
      </c>
      <c r="L19">
        <v>9431</v>
      </c>
      <c r="M19">
        <v>9684</v>
      </c>
      <c r="N19">
        <v>220</v>
      </c>
      <c r="O19">
        <v>253</v>
      </c>
      <c r="P19">
        <v>674</v>
      </c>
      <c r="Q19">
        <v>24</v>
      </c>
      <c r="R19">
        <v>58</v>
      </c>
      <c r="S19">
        <v>3587</v>
      </c>
      <c r="T19">
        <v>5031</v>
      </c>
      <c r="U19">
        <v>58</v>
      </c>
      <c r="V19">
        <v>16</v>
      </c>
      <c r="W19">
        <v>1</v>
      </c>
    </row>
    <row r="20" spans="1:23" x14ac:dyDescent="0.25">
      <c r="A20" t="s">
        <v>23</v>
      </c>
      <c r="B20" t="s">
        <v>24</v>
      </c>
      <c r="C20" t="s">
        <v>25</v>
      </c>
      <c r="D20" t="s">
        <v>26</v>
      </c>
      <c r="E20">
        <v>7</v>
      </c>
      <c r="F20" t="s">
        <v>27</v>
      </c>
      <c r="G20" t="s">
        <v>51</v>
      </c>
      <c r="H20" t="s">
        <v>52</v>
      </c>
      <c r="I20" t="s">
        <v>30</v>
      </c>
      <c r="J20">
        <v>125</v>
      </c>
      <c r="K20">
        <v>194</v>
      </c>
      <c r="L20">
        <v>224</v>
      </c>
      <c r="M20">
        <v>277</v>
      </c>
      <c r="N20">
        <v>12</v>
      </c>
      <c r="O20">
        <v>53</v>
      </c>
      <c r="P20">
        <v>15</v>
      </c>
      <c r="Q20">
        <v>0</v>
      </c>
      <c r="R20">
        <v>70</v>
      </c>
      <c r="S20">
        <v>15</v>
      </c>
      <c r="T20">
        <v>55</v>
      </c>
      <c r="U20">
        <v>70</v>
      </c>
      <c r="V20">
        <v>77</v>
      </c>
      <c r="W20">
        <v>1</v>
      </c>
    </row>
    <row r="21" spans="1:23" x14ac:dyDescent="0.25">
      <c r="A21" t="s">
        <v>23</v>
      </c>
      <c r="B21" t="s">
        <v>24</v>
      </c>
      <c r="C21" t="s">
        <v>25</v>
      </c>
      <c r="D21" t="s">
        <v>26</v>
      </c>
      <c r="E21">
        <v>7</v>
      </c>
      <c r="F21" t="s">
        <v>27</v>
      </c>
      <c r="G21" t="s">
        <v>51</v>
      </c>
      <c r="H21" t="s">
        <v>29</v>
      </c>
      <c r="I21" t="s">
        <v>30</v>
      </c>
      <c r="J21">
        <v>81</v>
      </c>
      <c r="K21">
        <v>102</v>
      </c>
      <c r="L21">
        <v>137</v>
      </c>
      <c r="M21">
        <v>137</v>
      </c>
      <c r="N21">
        <v>2</v>
      </c>
      <c r="O21">
        <v>0</v>
      </c>
      <c r="P21">
        <v>15</v>
      </c>
      <c r="Q21">
        <v>0</v>
      </c>
      <c r="R21">
        <v>21</v>
      </c>
      <c r="S21">
        <v>20</v>
      </c>
      <c r="T21">
        <v>60</v>
      </c>
      <c r="U21">
        <v>21</v>
      </c>
      <c r="V21">
        <v>77</v>
      </c>
      <c r="W21">
        <v>0</v>
      </c>
    </row>
    <row r="22" spans="1:23" x14ac:dyDescent="0.25">
      <c r="A22" t="s">
        <v>23</v>
      </c>
      <c r="B22" t="s">
        <v>24</v>
      </c>
      <c r="C22" t="s">
        <v>25</v>
      </c>
      <c r="D22" t="s">
        <v>26</v>
      </c>
      <c r="E22">
        <v>7</v>
      </c>
      <c r="F22" t="s">
        <v>27</v>
      </c>
      <c r="G22" t="s">
        <v>51</v>
      </c>
      <c r="H22" t="s">
        <v>53</v>
      </c>
      <c r="I22" t="s">
        <v>30</v>
      </c>
      <c r="J22">
        <v>8</v>
      </c>
      <c r="K22">
        <v>17</v>
      </c>
      <c r="L22">
        <v>17</v>
      </c>
      <c r="M22">
        <v>17</v>
      </c>
      <c r="N22">
        <v>1</v>
      </c>
      <c r="O22">
        <v>0</v>
      </c>
      <c r="P22">
        <v>0</v>
      </c>
      <c r="Q22">
        <v>0</v>
      </c>
      <c r="R22">
        <v>8</v>
      </c>
      <c r="S22">
        <v>0</v>
      </c>
      <c r="T22">
        <v>0</v>
      </c>
      <c r="U22">
        <v>8</v>
      </c>
      <c r="V22">
        <v>77</v>
      </c>
      <c r="W22">
        <v>0</v>
      </c>
    </row>
    <row r="23" spans="1:23" x14ac:dyDescent="0.25">
      <c r="A23" t="s">
        <v>23</v>
      </c>
      <c r="B23" t="s">
        <v>24</v>
      </c>
      <c r="C23" t="s">
        <v>25</v>
      </c>
      <c r="D23" t="s">
        <v>26</v>
      </c>
      <c r="E23">
        <v>7</v>
      </c>
      <c r="F23" t="s">
        <v>27</v>
      </c>
      <c r="G23" t="s">
        <v>51</v>
      </c>
      <c r="H23" t="s">
        <v>54</v>
      </c>
      <c r="I23" t="s">
        <v>30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77</v>
      </c>
      <c r="W23">
        <v>0</v>
      </c>
    </row>
    <row r="24" spans="1:23" x14ac:dyDescent="0.25">
      <c r="A24" t="s">
        <v>23</v>
      </c>
      <c r="B24" t="s">
        <v>24</v>
      </c>
      <c r="C24" t="s">
        <v>25</v>
      </c>
      <c r="D24" t="s">
        <v>26</v>
      </c>
      <c r="E24">
        <v>7</v>
      </c>
      <c r="F24" t="s">
        <v>27</v>
      </c>
      <c r="G24" t="s">
        <v>51</v>
      </c>
      <c r="H24" t="s">
        <v>31</v>
      </c>
      <c r="I24" t="s">
        <v>30</v>
      </c>
      <c r="J24">
        <v>458</v>
      </c>
      <c r="K24">
        <v>612</v>
      </c>
      <c r="L24">
        <v>1262</v>
      </c>
      <c r="M24">
        <v>3051</v>
      </c>
      <c r="N24">
        <v>71</v>
      </c>
      <c r="O24">
        <v>1789</v>
      </c>
      <c r="P24">
        <v>355</v>
      </c>
      <c r="Q24">
        <v>0</v>
      </c>
      <c r="R24">
        <v>153</v>
      </c>
      <c r="S24">
        <v>295</v>
      </c>
      <c r="T24">
        <v>305</v>
      </c>
      <c r="U24">
        <v>153</v>
      </c>
      <c r="V24">
        <v>77</v>
      </c>
      <c r="W24">
        <v>1</v>
      </c>
    </row>
    <row r="25" spans="1:23" x14ac:dyDescent="0.25">
      <c r="A25" t="s">
        <v>23</v>
      </c>
      <c r="B25" t="s">
        <v>24</v>
      </c>
      <c r="C25" t="s">
        <v>25</v>
      </c>
      <c r="D25" t="s">
        <v>26</v>
      </c>
      <c r="E25">
        <v>7</v>
      </c>
      <c r="F25" t="s">
        <v>27</v>
      </c>
      <c r="G25" t="s">
        <v>51</v>
      </c>
      <c r="H25" t="s">
        <v>32</v>
      </c>
      <c r="I25" t="s">
        <v>30</v>
      </c>
      <c r="J25">
        <v>90</v>
      </c>
      <c r="K25">
        <v>114</v>
      </c>
      <c r="L25">
        <v>339</v>
      </c>
      <c r="M25">
        <v>1129</v>
      </c>
      <c r="N25">
        <v>2</v>
      </c>
      <c r="O25">
        <v>789</v>
      </c>
      <c r="P25">
        <v>125</v>
      </c>
      <c r="Q25">
        <v>0</v>
      </c>
      <c r="R25">
        <v>25</v>
      </c>
      <c r="S25">
        <v>100</v>
      </c>
      <c r="T25">
        <v>65</v>
      </c>
      <c r="U25">
        <v>25</v>
      </c>
      <c r="V25">
        <v>77</v>
      </c>
      <c r="W25">
        <v>0</v>
      </c>
    </row>
    <row r="26" spans="1:23" x14ac:dyDescent="0.25">
      <c r="A26" t="s">
        <v>23</v>
      </c>
      <c r="B26" t="s">
        <v>24</v>
      </c>
      <c r="C26" t="s">
        <v>25</v>
      </c>
      <c r="D26" t="s">
        <v>26</v>
      </c>
      <c r="E26">
        <v>7</v>
      </c>
      <c r="F26" t="s">
        <v>27</v>
      </c>
      <c r="G26" t="s">
        <v>51</v>
      </c>
      <c r="H26" t="s">
        <v>33</v>
      </c>
      <c r="I26" t="s">
        <v>30</v>
      </c>
      <c r="J26">
        <v>709</v>
      </c>
      <c r="K26">
        <v>833</v>
      </c>
      <c r="L26">
        <v>1213</v>
      </c>
      <c r="M26">
        <v>1924</v>
      </c>
      <c r="N26">
        <v>102</v>
      </c>
      <c r="O26">
        <v>710</v>
      </c>
      <c r="P26">
        <v>225</v>
      </c>
      <c r="Q26">
        <v>10</v>
      </c>
      <c r="R26">
        <v>114</v>
      </c>
      <c r="S26">
        <v>155</v>
      </c>
      <c r="T26">
        <v>595</v>
      </c>
      <c r="U26">
        <v>114</v>
      </c>
      <c r="V26">
        <v>77</v>
      </c>
      <c r="W26">
        <v>2</v>
      </c>
    </row>
    <row r="27" spans="1:23" x14ac:dyDescent="0.25">
      <c r="A27" t="s">
        <v>23</v>
      </c>
      <c r="B27" t="s">
        <v>24</v>
      </c>
      <c r="C27" t="s">
        <v>25</v>
      </c>
      <c r="D27" t="s">
        <v>26</v>
      </c>
      <c r="E27">
        <v>7</v>
      </c>
      <c r="F27" t="s">
        <v>27</v>
      </c>
      <c r="G27" t="s">
        <v>51</v>
      </c>
      <c r="H27" t="s">
        <v>34</v>
      </c>
      <c r="I27" t="s">
        <v>30</v>
      </c>
      <c r="J27">
        <v>771</v>
      </c>
      <c r="K27">
        <v>1031</v>
      </c>
      <c r="L27">
        <v>1976</v>
      </c>
      <c r="M27">
        <v>2555</v>
      </c>
      <c r="N27">
        <v>29</v>
      </c>
      <c r="O27">
        <v>579</v>
      </c>
      <c r="P27">
        <v>605</v>
      </c>
      <c r="Q27">
        <v>140</v>
      </c>
      <c r="R27">
        <v>120</v>
      </c>
      <c r="S27">
        <v>340</v>
      </c>
      <c r="T27">
        <v>650</v>
      </c>
      <c r="U27">
        <v>120</v>
      </c>
      <c r="V27">
        <v>77</v>
      </c>
      <c r="W27">
        <v>1</v>
      </c>
    </row>
    <row r="28" spans="1:23" x14ac:dyDescent="0.25">
      <c r="A28" t="s">
        <v>23</v>
      </c>
      <c r="B28" t="s">
        <v>24</v>
      </c>
      <c r="C28" t="s">
        <v>25</v>
      </c>
      <c r="D28" t="s">
        <v>26</v>
      </c>
      <c r="E28">
        <v>7</v>
      </c>
      <c r="F28" t="s">
        <v>27</v>
      </c>
      <c r="G28" t="s">
        <v>51</v>
      </c>
      <c r="H28" t="s">
        <v>35</v>
      </c>
      <c r="I28" t="s">
        <v>30</v>
      </c>
      <c r="J28">
        <v>1</v>
      </c>
      <c r="K28">
        <v>1</v>
      </c>
      <c r="L28">
        <v>16</v>
      </c>
      <c r="M28">
        <v>174</v>
      </c>
      <c r="N28">
        <v>0</v>
      </c>
      <c r="O28">
        <v>158</v>
      </c>
      <c r="P28">
        <v>5</v>
      </c>
      <c r="Q28">
        <v>0</v>
      </c>
      <c r="R28">
        <v>1</v>
      </c>
      <c r="S28">
        <v>10</v>
      </c>
      <c r="T28">
        <v>0</v>
      </c>
      <c r="U28">
        <v>1</v>
      </c>
      <c r="V28">
        <v>77</v>
      </c>
      <c r="W28">
        <v>0</v>
      </c>
    </row>
    <row r="29" spans="1:23" x14ac:dyDescent="0.25">
      <c r="A29" t="s">
        <v>23</v>
      </c>
      <c r="B29" t="s">
        <v>24</v>
      </c>
      <c r="C29" t="s">
        <v>25</v>
      </c>
      <c r="D29" t="s">
        <v>26</v>
      </c>
      <c r="E29">
        <v>7</v>
      </c>
      <c r="F29" t="s">
        <v>27</v>
      </c>
      <c r="G29" t="s">
        <v>51</v>
      </c>
      <c r="H29" t="s">
        <v>55</v>
      </c>
      <c r="I29" t="s">
        <v>30</v>
      </c>
      <c r="J29">
        <v>86</v>
      </c>
      <c r="K29">
        <v>123</v>
      </c>
      <c r="L29">
        <v>303</v>
      </c>
      <c r="M29">
        <v>382</v>
      </c>
      <c r="N29">
        <v>0</v>
      </c>
      <c r="O29">
        <v>79</v>
      </c>
      <c r="P29">
        <v>85</v>
      </c>
      <c r="Q29">
        <v>30</v>
      </c>
      <c r="R29">
        <v>6</v>
      </c>
      <c r="S29">
        <v>95</v>
      </c>
      <c r="T29">
        <v>80</v>
      </c>
      <c r="U29">
        <v>6</v>
      </c>
      <c r="V29">
        <v>77</v>
      </c>
      <c r="W29">
        <v>0</v>
      </c>
    </row>
    <row r="30" spans="1:23" x14ac:dyDescent="0.25">
      <c r="A30" t="s">
        <v>23</v>
      </c>
      <c r="B30" t="s">
        <v>24</v>
      </c>
      <c r="C30" t="s">
        <v>25</v>
      </c>
      <c r="D30" t="s">
        <v>26</v>
      </c>
      <c r="E30">
        <v>7</v>
      </c>
      <c r="F30" t="s">
        <v>27</v>
      </c>
      <c r="G30" t="s">
        <v>51</v>
      </c>
      <c r="H30" t="s">
        <v>36</v>
      </c>
      <c r="I30" t="s">
        <v>37</v>
      </c>
      <c r="J30">
        <v>906</v>
      </c>
      <c r="K30">
        <v>1097</v>
      </c>
      <c r="L30">
        <v>1272</v>
      </c>
      <c r="M30">
        <v>1272</v>
      </c>
      <c r="N30">
        <v>0</v>
      </c>
      <c r="O30">
        <v>0</v>
      </c>
      <c r="P30">
        <v>60</v>
      </c>
      <c r="Q30">
        <v>45</v>
      </c>
      <c r="R30">
        <v>146</v>
      </c>
      <c r="S30">
        <v>115</v>
      </c>
      <c r="T30">
        <v>760</v>
      </c>
      <c r="U30">
        <v>146</v>
      </c>
      <c r="V30">
        <v>77</v>
      </c>
      <c r="W30">
        <v>0</v>
      </c>
    </row>
    <row r="31" spans="1:23" x14ac:dyDescent="0.25">
      <c r="A31" t="s">
        <v>23</v>
      </c>
      <c r="B31" t="s">
        <v>24</v>
      </c>
      <c r="C31" t="s">
        <v>25</v>
      </c>
      <c r="D31" t="s">
        <v>26</v>
      </c>
      <c r="E31">
        <v>7</v>
      </c>
      <c r="F31" t="s">
        <v>27</v>
      </c>
      <c r="G31" t="s">
        <v>51</v>
      </c>
      <c r="H31" t="s">
        <v>56</v>
      </c>
      <c r="I31" t="s">
        <v>37</v>
      </c>
      <c r="J31">
        <v>0</v>
      </c>
      <c r="K31">
        <v>0</v>
      </c>
      <c r="L31">
        <v>0</v>
      </c>
      <c r="M31">
        <v>13</v>
      </c>
      <c r="N31">
        <v>0</v>
      </c>
      <c r="O31">
        <v>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77</v>
      </c>
      <c r="W31">
        <v>0</v>
      </c>
    </row>
    <row r="32" spans="1:23" x14ac:dyDescent="0.25">
      <c r="A32" t="s">
        <v>23</v>
      </c>
      <c r="B32" t="s">
        <v>24</v>
      </c>
      <c r="C32" t="s">
        <v>25</v>
      </c>
      <c r="D32" t="s">
        <v>26</v>
      </c>
      <c r="E32">
        <v>7</v>
      </c>
      <c r="F32" t="s">
        <v>27</v>
      </c>
      <c r="G32" t="s">
        <v>51</v>
      </c>
      <c r="H32" t="s">
        <v>57</v>
      </c>
      <c r="I32" t="s">
        <v>37</v>
      </c>
      <c r="J32">
        <v>23</v>
      </c>
      <c r="K32">
        <v>30</v>
      </c>
      <c r="L32">
        <v>50</v>
      </c>
      <c r="M32">
        <v>50</v>
      </c>
      <c r="N32">
        <v>0</v>
      </c>
      <c r="O32">
        <v>0</v>
      </c>
      <c r="P32">
        <v>0</v>
      </c>
      <c r="Q32">
        <v>0</v>
      </c>
      <c r="R32">
        <v>8</v>
      </c>
      <c r="S32">
        <v>20</v>
      </c>
      <c r="T32">
        <v>15</v>
      </c>
      <c r="U32">
        <v>8</v>
      </c>
      <c r="V32">
        <v>77</v>
      </c>
      <c r="W32">
        <v>0</v>
      </c>
    </row>
    <row r="33" spans="1:23" x14ac:dyDescent="0.25">
      <c r="A33" t="s">
        <v>23</v>
      </c>
      <c r="B33" t="s">
        <v>24</v>
      </c>
      <c r="C33" t="s">
        <v>25</v>
      </c>
      <c r="D33" t="s">
        <v>26</v>
      </c>
      <c r="E33">
        <v>7</v>
      </c>
      <c r="F33" t="s">
        <v>27</v>
      </c>
      <c r="G33" t="s">
        <v>51</v>
      </c>
      <c r="H33" t="s">
        <v>39</v>
      </c>
      <c r="I33" t="s">
        <v>37</v>
      </c>
      <c r="J33">
        <v>57</v>
      </c>
      <c r="K33">
        <v>69</v>
      </c>
      <c r="L33">
        <v>94</v>
      </c>
      <c r="M33">
        <v>107</v>
      </c>
      <c r="N33">
        <v>0</v>
      </c>
      <c r="O33">
        <v>13</v>
      </c>
      <c r="P33">
        <v>5</v>
      </c>
      <c r="Q33">
        <v>0</v>
      </c>
      <c r="R33">
        <v>12</v>
      </c>
      <c r="S33">
        <v>20</v>
      </c>
      <c r="T33">
        <v>45</v>
      </c>
      <c r="U33">
        <v>12</v>
      </c>
      <c r="V33">
        <v>77</v>
      </c>
      <c r="W33">
        <v>0</v>
      </c>
    </row>
    <row r="34" spans="1:23" x14ac:dyDescent="0.25">
      <c r="A34" t="s">
        <v>23</v>
      </c>
      <c r="B34" t="s">
        <v>24</v>
      </c>
      <c r="C34" t="s">
        <v>25</v>
      </c>
      <c r="D34" t="s">
        <v>26</v>
      </c>
      <c r="E34">
        <v>7</v>
      </c>
      <c r="F34" t="s">
        <v>27</v>
      </c>
      <c r="G34" t="s">
        <v>51</v>
      </c>
      <c r="H34" t="s">
        <v>40</v>
      </c>
      <c r="I34" t="s">
        <v>37</v>
      </c>
      <c r="J34">
        <v>609</v>
      </c>
      <c r="K34">
        <v>738</v>
      </c>
      <c r="L34">
        <v>1193</v>
      </c>
      <c r="M34">
        <v>1193</v>
      </c>
      <c r="N34">
        <v>0</v>
      </c>
      <c r="O34">
        <v>0</v>
      </c>
      <c r="P34">
        <v>105</v>
      </c>
      <c r="Q34">
        <v>55</v>
      </c>
      <c r="R34">
        <v>74</v>
      </c>
      <c r="S34">
        <v>350</v>
      </c>
      <c r="T34">
        <v>535</v>
      </c>
      <c r="U34">
        <v>74</v>
      </c>
      <c r="V34">
        <v>77</v>
      </c>
      <c r="W34">
        <v>0</v>
      </c>
    </row>
    <row r="35" spans="1:23" x14ac:dyDescent="0.25">
      <c r="A35" t="s">
        <v>23</v>
      </c>
      <c r="B35" t="s">
        <v>24</v>
      </c>
      <c r="C35" t="s">
        <v>25</v>
      </c>
      <c r="D35" t="s">
        <v>26</v>
      </c>
      <c r="E35">
        <v>7</v>
      </c>
      <c r="F35" t="s">
        <v>27</v>
      </c>
      <c r="G35" t="s">
        <v>51</v>
      </c>
      <c r="H35" t="s">
        <v>58</v>
      </c>
      <c r="I35" t="s">
        <v>37</v>
      </c>
      <c r="J35">
        <v>6</v>
      </c>
      <c r="K35">
        <v>6</v>
      </c>
      <c r="L35">
        <v>6</v>
      </c>
      <c r="M35">
        <v>6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5</v>
      </c>
      <c r="U35">
        <v>1</v>
      </c>
      <c r="V35">
        <v>77</v>
      </c>
      <c r="W35">
        <v>0</v>
      </c>
    </row>
    <row r="36" spans="1:23" x14ac:dyDescent="0.25">
      <c r="A36" t="s">
        <v>23</v>
      </c>
      <c r="B36" t="s">
        <v>24</v>
      </c>
      <c r="C36" t="s">
        <v>25</v>
      </c>
      <c r="D36" t="s">
        <v>26</v>
      </c>
      <c r="E36">
        <v>7</v>
      </c>
      <c r="F36" t="s">
        <v>27</v>
      </c>
      <c r="G36" t="s">
        <v>51</v>
      </c>
      <c r="H36" t="s">
        <v>59</v>
      </c>
      <c r="I36" t="s">
        <v>37</v>
      </c>
      <c r="J36">
        <v>1150</v>
      </c>
      <c r="K36">
        <v>1525</v>
      </c>
      <c r="L36">
        <v>1765</v>
      </c>
      <c r="M36">
        <v>1765</v>
      </c>
      <c r="N36">
        <v>38</v>
      </c>
      <c r="O36">
        <v>0</v>
      </c>
      <c r="P36">
        <v>115</v>
      </c>
      <c r="Q36">
        <v>120</v>
      </c>
      <c r="R36">
        <v>255</v>
      </c>
      <c r="S36">
        <v>125</v>
      </c>
      <c r="T36">
        <v>895</v>
      </c>
      <c r="U36">
        <v>255</v>
      </c>
      <c r="V36">
        <v>77</v>
      </c>
      <c r="W36">
        <v>0</v>
      </c>
    </row>
    <row r="37" spans="1:23" x14ac:dyDescent="0.25">
      <c r="A37" t="s">
        <v>23</v>
      </c>
      <c r="B37" t="s">
        <v>24</v>
      </c>
      <c r="C37" t="s">
        <v>25</v>
      </c>
      <c r="D37" t="s">
        <v>26</v>
      </c>
      <c r="E37">
        <v>7</v>
      </c>
      <c r="F37" t="s">
        <v>27</v>
      </c>
      <c r="G37" t="s">
        <v>51</v>
      </c>
      <c r="H37" t="s">
        <v>41</v>
      </c>
      <c r="I37" t="s">
        <v>37</v>
      </c>
      <c r="J37">
        <v>201</v>
      </c>
      <c r="K37">
        <v>232</v>
      </c>
      <c r="L37">
        <v>503</v>
      </c>
      <c r="M37">
        <v>503</v>
      </c>
      <c r="N37">
        <v>32</v>
      </c>
      <c r="O37">
        <v>0</v>
      </c>
      <c r="P37">
        <v>90</v>
      </c>
      <c r="Q37">
        <v>15</v>
      </c>
      <c r="R37">
        <v>16</v>
      </c>
      <c r="S37">
        <v>180</v>
      </c>
      <c r="T37">
        <v>185</v>
      </c>
      <c r="U37">
        <v>16</v>
      </c>
      <c r="V37">
        <v>77</v>
      </c>
      <c r="W37">
        <v>0</v>
      </c>
    </row>
    <row r="38" spans="1:23" x14ac:dyDescent="0.25">
      <c r="A38" t="s">
        <v>23</v>
      </c>
      <c r="B38" t="s">
        <v>24</v>
      </c>
      <c r="C38" t="s">
        <v>25</v>
      </c>
      <c r="D38" t="s">
        <v>26</v>
      </c>
      <c r="E38">
        <v>7</v>
      </c>
      <c r="F38" t="s">
        <v>27</v>
      </c>
      <c r="G38" t="s">
        <v>51</v>
      </c>
      <c r="H38" t="s">
        <v>60</v>
      </c>
      <c r="I38" t="s">
        <v>37</v>
      </c>
      <c r="J38">
        <v>5</v>
      </c>
      <c r="K38">
        <v>5</v>
      </c>
      <c r="L38">
        <v>10</v>
      </c>
      <c r="M38">
        <v>10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5</v>
      </c>
      <c r="U38">
        <v>0</v>
      </c>
      <c r="V38">
        <v>77</v>
      </c>
      <c r="W38">
        <v>0</v>
      </c>
    </row>
    <row r="39" spans="1:23" x14ac:dyDescent="0.25">
      <c r="A39" t="s">
        <v>23</v>
      </c>
      <c r="B39" t="s">
        <v>24</v>
      </c>
      <c r="C39" t="s">
        <v>25</v>
      </c>
      <c r="D39" t="s">
        <v>26</v>
      </c>
      <c r="E39">
        <v>7</v>
      </c>
      <c r="F39" t="s">
        <v>27</v>
      </c>
      <c r="G39" t="s">
        <v>51</v>
      </c>
      <c r="H39" t="s">
        <v>42</v>
      </c>
      <c r="I39" t="s">
        <v>43</v>
      </c>
      <c r="J39">
        <v>1198</v>
      </c>
      <c r="K39">
        <v>1456</v>
      </c>
      <c r="L39">
        <v>2136</v>
      </c>
      <c r="M39">
        <v>2136</v>
      </c>
      <c r="N39">
        <v>382</v>
      </c>
      <c r="O39">
        <v>0</v>
      </c>
      <c r="P39">
        <v>545</v>
      </c>
      <c r="Q39">
        <v>235</v>
      </c>
      <c r="R39">
        <v>23</v>
      </c>
      <c r="S39">
        <v>135</v>
      </c>
      <c r="T39">
        <v>1175</v>
      </c>
      <c r="U39">
        <v>23</v>
      </c>
      <c r="V39">
        <v>77</v>
      </c>
      <c r="W39">
        <v>1</v>
      </c>
    </row>
    <row r="40" spans="1:23" x14ac:dyDescent="0.25">
      <c r="A40" t="s">
        <v>23</v>
      </c>
      <c r="B40" t="s">
        <v>24</v>
      </c>
      <c r="C40" t="s">
        <v>25</v>
      </c>
      <c r="D40" t="s">
        <v>26</v>
      </c>
      <c r="E40">
        <v>7</v>
      </c>
      <c r="F40" t="s">
        <v>27</v>
      </c>
      <c r="G40" t="s">
        <v>51</v>
      </c>
      <c r="H40" t="s">
        <v>44</v>
      </c>
      <c r="I40" t="s">
        <v>43</v>
      </c>
      <c r="J40">
        <v>169</v>
      </c>
      <c r="K40">
        <v>203</v>
      </c>
      <c r="L40">
        <v>248</v>
      </c>
      <c r="M40">
        <v>248</v>
      </c>
      <c r="N40">
        <v>39</v>
      </c>
      <c r="O40">
        <v>0</v>
      </c>
      <c r="P40">
        <v>30</v>
      </c>
      <c r="Q40">
        <v>5</v>
      </c>
      <c r="R40">
        <v>29</v>
      </c>
      <c r="S40">
        <v>15</v>
      </c>
      <c r="T40">
        <v>140</v>
      </c>
      <c r="U40">
        <v>29</v>
      </c>
      <c r="V40">
        <v>77</v>
      </c>
      <c r="W40">
        <v>0</v>
      </c>
    </row>
    <row r="41" spans="1:23" x14ac:dyDescent="0.25">
      <c r="A41" t="s">
        <v>23</v>
      </c>
      <c r="B41" t="s">
        <v>24</v>
      </c>
      <c r="C41" t="s">
        <v>25</v>
      </c>
      <c r="D41" t="s">
        <v>26</v>
      </c>
      <c r="E41">
        <v>7</v>
      </c>
      <c r="F41" t="s">
        <v>27</v>
      </c>
      <c r="G41" t="s">
        <v>51</v>
      </c>
      <c r="H41" t="s">
        <v>45</v>
      </c>
      <c r="I41" t="s">
        <v>43</v>
      </c>
      <c r="J41">
        <v>900</v>
      </c>
      <c r="K41">
        <v>1200</v>
      </c>
      <c r="L41">
        <v>1340</v>
      </c>
      <c r="M41">
        <v>1340</v>
      </c>
      <c r="N41">
        <v>13</v>
      </c>
      <c r="O41">
        <v>0</v>
      </c>
      <c r="P41">
        <v>80</v>
      </c>
      <c r="Q41">
        <v>45</v>
      </c>
      <c r="R41">
        <v>255</v>
      </c>
      <c r="S41">
        <v>60</v>
      </c>
      <c r="T41">
        <v>645</v>
      </c>
      <c r="U41">
        <v>255</v>
      </c>
      <c r="V41">
        <v>77</v>
      </c>
      <c r="W41">
        <v>0</v>
      </c>
    </row>
    <row r="42" spans="1:23" x14ac:dyDescent="0.25">
      <c r="A42" t="s">
        <v>23</v>
      </c>
      <c r="B42" t="s">
        <v>24</v>
      </c>
      <c r="C42" t="s">
        <v>25</v>
      </c>
      <c r="D42" t="s">
        <v>26</v>
      </c>
      <c r="E42">
        <v>7</v>
      </c>
      <c r="F42" t="s">
        <v>27</v>
      </c>
      <c r="G42" t="s">
        <v>51</v>
      </c>
      <c r="H42" t="s">
        <v>46</v>
      </c>
      <c r="I42" t="s">
        <v>43</v>
      </c>
      <c r="J42">
        <v>121</v>
      </c>
      <c r="K42">
        <v>121</v>
      </c>
      <c r="L42">
        <v>282</v>
      </c>
      <c r="M42">
        <v>282</v>
      </c>
      <c r="N42">
        <v>35</v>
      </c>
      <c r="O42">
        <v>0</v>
      </c>
      <c r="P42">
        <v>35</v>
      </c>
      <c r="Q42">
        <v>0</v>
      </c>
      <c r="R42">
        <v>1</v>
      </c>
      <c r="S42">
        <v>125</v>
      </c>
      <c r="T42">
        <v>120</v>
      </c>
      <c r="U42">
        <v>1</v>
      </c>
      <c r="V42">
        <v>77</v>
      </c>
      <c r="W42">
        <v>0</v>
      </c>
    </row>
    <row r="43" spans="1:23" x14ac:dyDescent="0.25">
      <c r="A43" t="s">
        <v>23</v>
      </c>
      <c r="B43" t="s">
        <v>24</v>
      </c>
      <c r="C43" t="s">
        <v>25</v>
      </c>
      <c r="D43" t="s">
        <v>26</v>
      </c>
      <c r="E43">
        <v>7</v>
      </c>
      <c r="F43" t="s">
        <v>27</v>
      </c>
      <c r="G43" t="s">
        <v>51</v>
      </c>
      <c r="H43" t="s">
        <v>47</v>
      </c>
      <c r="I43" t="s">
        <v>48</v>
      </c>
      <c r="J43">
        <v>0</v>
      </c>
      <c r="K43">
        <v>0</v>
      </c>
      <c r="L43">
        <v>15</v>
      </c>
      <c r="M43">
        <v>15</v>
      </c>
      <c r="N43">
        <v>0</v>
      </c>
      <c r="O43">
        <v>0</v>
      </c>
      <c r="P43">
        <v>0</v>
      </c>
      <c r="Q43">
        <v>0</v>
      </c>
      <c r="R43">
        <v>0</v>
      </c>
      <c r="S43">
        <v>15</v>
      </c>
      <c r="T43">
        <v>0</v>
      </c>
      <c r="U43">
        <v>0</v>
      </c>
      <c r="V43">
        <v>77</v>
      </c>
      <c r="W43">
        <v>0</v>
      </c>
    </row>
    <row r="44" spans="1:23" x14ac:dyDescent="0.25">
      <c r="A44" t="s">
        <v>23</v>
      </c>
      <c r="B44" t="s">
        <v>24</v>
      </c>
      <c r="C44" t="s">
        <v>25</v>
      </c>
      <c r="D44" t="s">
        <v>26</v>
      </c>
      <c r="E44">
        <v>7</v>
      </c>
      <c r="F44" t="s">
        <v>27</v>
      </c>
      <c r="G44" t="s">
        <v>51</v>
      </c>
      <c r="H44" t="s">
        <v>49</v>
      </c>
      <c r="I44" t="s">
        <v>48</v>
      </c>
      <c r="J44">
        <v>61</v>
      </c>
      <c r="K44">
        <v>78</v>
      </c>
      <c r="L44">
        <v>78</v>
      </c>
      <c r="M44">
        <v>78</v>
      </c>
      <c r="N44">
        <v>6</v>
      </c>
      <c r="O44">
        <v>0</v>
      </c>
      <c r="P44">
        <v>0</v>
      </c>
      <c r="Q44">
        <v>10</v>
      </c>
      <c r="R44">
        <v>6</v>
      </c>
      <c r="S44">
        <v>0</v>
      </c>
      <c r="T44">
        <v>55</v>
      </c>
      <c r="U44">
        <v>6</v>
      </c>
      <c r="V44">
        <v>77</v>
      </c>
      <c r="W44">
        <v>0</v>
      </c>
    </row>
    <row r="45" spans="1:23" x14ac:dyDescent="0.25">
      <c r="A45" t="s">
        <v>23</v>
      </c>
      <c r="B45" t="s">
        <v>24</v>
      </c>
      <c r="C45" t="s">
        <v>25</v>
      </c>
      <c r="D45" t="s">
        <v>26</v>
      </c>
      <c r="E45">
        <v>7</v>
      </c>
      <c r="F45" t="s">
        <v>27</v>
      </c>
      <c r="G45" t="s">
        <v>51</v>
      </c>
      <c r="H45" t="s">
        <v>61</v>
      </c>
      <c r="I45" t="s">
        <v>48</v>
      </c>
      <c r="J45">
        <v>62</v>
      </c>
      <c r="K45">
        <v>64</v>
      </c>
      <c r="L45">
        <v>64</v>
      </c>
      <c r="M45">
        <v>64</v>
      </c>
      <c r="N45">
        <v>11</v>
      </c>
      <c r="O45">
        <v>0</v>
      </c>
      <c r="P45">
        <v>0</v>
      </c>
      <c r="Q45">
        <v>0</v>
      </c>
      <c r="R45">
        <v>2</v>
      </c>
      <c r="S45">
        <v>0</v>
      </c>
      <c r="T45">
        <v>60</v>
      </c>
      <c r="U45">
        <v>2</v>
      </c>
      <c r="V45">
        <v>77</v>
      </c>
      <c r="W45">
        <v>0</v>
      </c>
    </row>
    <row r="46" spans="1:23" x14ac:dyDescent="0.25">
      <c r="A46" t="s">
        <v>23</v>
      </c>
      <c r="B46" t="s">
        <v>24</v>
      </c>
      <c r="C46" t="s">
        <v>25</v>
      </c>
      <c r="D46" t="s">
        <v>26</v>
      </c>
      <c r="E46">
        <v>7</v>
      </c>
      <c r="F46" t="s">
        <v>27</v>
      </c>
      <c r="G46" t="s">
        <v>51</v>
      </c>
      <c r="H46" t="s">
        <v>50</v>
      </c>
      <c r="I46" t="s">
        <v>50</v>
      </c>
      <c r="J46">
        <v>1208</v>
      </c>
      <c r="K46">
        <v>1507</v>
      </c>
      <c r="L46">
        <v>1967</v>
      </c>
      <c r="M46">
        <v>2019</v>
      </c>
      <c r="N46">
        <v>55</v>
      </c>
      <c r="O46">
        <v>53</v>
      </c>
      <c r="P46">
        <v>340</v>
      </c>
      <c r="Q46">
        <v>170</v>
      </c>
      <c r="R46">
        <v>128</v>
      </c>
      <c r="S46">
        <v>120</v>
      </c>
      <c r="T46">
        <v>1080</v>
      </c>
      <c r="U46">
        <v>128</v>
      </c>
      <c r="V46">
        <v>77</v>
      </c>
      <c r="W46">
        <v>0</v>
      </c>
    </row>
    <row r="47" spans="1:23" x14ac:dyDescent="0.25">
      <c r="A47" t="s">
        <v>23</v>
      </c>
      <c r="B47" t="s">
        <v>24</v>
      </c>
      <c r="C47" t="s">
        <v>25</v>
      </c>
      <c r="D47" t="s">
        <v>26</v>
      </c>
      <c r="E47">
        <v>7</v>
      </c>
      <c r="F47" t="s">
        <v>62</v>
      </c>
      <c r="G47" t="s">
        <v>28</v>
      </c>
      <c r="H47" t="s">
        <v>29</v>
      </c>
      <c r="I47" t="s">
        <v>30</v>
      </c>
      <c r="J47">
        <v>129</v>
      </c>
      <c r="K47">
        <v>258</v>
      </c>
      <c r="L47">
        <v>395</v>
      </c>
      <c r="M47">
        <v>540</v>
      </c>
      <c r="N47">
        <v>8</v>
      </c>
      <c r="O47">
        <v>145</v>
      </c>
      <c r="P47">
        <v>83</v>
      </c>
      <c r="Q47">
        <v>83</v>
      </c>
      <c r="R47">
        <v>46</v>
      </c>
      <c r="S47">
        <v>55</v>
      </c>
      <c r="T47">
        <v>83</v>
      </c>
      <c r="U47">
        <v>46</v>
      </c>
      <c r="V47">
        <v>14</v>
      </c>
      <c r="W47">
        <v>1</v>
      </c>
    </row>
    <row r="48" spans="1:23" x14ac:dyDescent="0.25">
      <c r="A48" t="s">
        <v>23</v>
      </c>
      <c r="B48" t="s">
        <v>24</v>
      </c>
      <c r="C48" t="s">
        <v>25</v>
      </c>
      <c r="D48" t="s">
        <v>26</v>
      </c>
      <c r="E48">
        <v>7</v>
      </c>
      <c r="F48" t="s">
        <v>62</v>
      </c>
      <c r="G48" t="s">
        <v>28</v>
      </c>
      <c r="H48" t="s">
        <v>63</v>
      </c>
      <c r="I48" t="s">
        <v>30</v>
      </c>
      <c r="J48">
        <v>12</v>
      </c>
      <c r="K48">
        <v>23</v>
      </c>
      <c r="L48">
        <v>106</v>
      </c>
      <c r="M48">
        <v>178</v>
      </c>
      <c r="N48">
        <v>0</v>
      </c>
      <c r="O48">
        <v>72</v>
      </c>
      <c r="P48">
        <v>55</v>
      </c>
      <c r="Q48">
        <v>0</v>
      </c>
      <c r="R48">
        <v>12</v>
      </c>
      <c r="S48">
        <v>28</v>
      </c>
      <c r="T48">
        <v>0</v>
      </c>
      <c r="U48">
        <v>12</v>
      </c>
      <c r="V48">
        <v>14</v>
      </c>
      <c r="W48">
        <v>0</v>
      </c>
    </row>
    <row r="49" spans="1:23" x14ac:dyDescent="0.25">
      <c r="A49" t="s">
        <v>23</v>
      </c>
      <c r="B49" t="s">
        <v>24</v>
      </c>
      <c r="C49" t="s">
        <v>25</v>
      </c>
      <c r="D49" t="s">
        <v>26</v>
      </c>
      <c r="E49">
        <v>7</v>
      </c>
      <c r="F49" t="s">
        <v>62</v>
      </c>
      <c r="G49" t="s">
        <v>28</v>
      </c>
      <c r="H49" t="s">
        <v>31</v>
      </c>
      <c r="I49" t="s">
        <v>30</v>
      </c>
      <c r="J49">
        <v>392</v>
      </c>
      <c r="K49">
        <v>757</v>
      </c>
      <c r="L49">
        <v>3343</v>
      </c>
      <c r="M49">
        <v>13760</v>
      </c>
      <c r="N49">
        <v>59</v>
      </c>
      <c r="O49">
        <v>10418</v>
      </c>
      <c r="P49">
        <v>2448</v>
      </c>
      <c r="Q49">
        <v>303</v>
      </c>
      <c r="R49">
        <v>62</v>
      </c>
      <c r="S49">
        <v>138</v>
      </c>
      <c r="T49">
        <v>330</v>
      </c>
      <c r="U49">
        <v>62</v>
      </c>
      <c r="V49">
        <v>14</v>
      </c>
      <c r="W49">
        <v>1</v>
      </c>
    </row>
    <row r="50" spans="1:23" x14ac:dyDescent="0.25">
      <c r="A50" t="s">
        <v>23</v>
      </c>
      <c r="B50" t="s">
        <v>24</v>
      </c>
      <c r="C50" t="s">
        <v>25</v>
      </c>
      <c r="D50" t="s">
        <v>26</v>
      </c>
      <c r="E50">
        <v>7</v>
      </c>
      <c r="F50" t="s">
        <v>62</v>
      </c>
      <c r="G50" t="s">
        <v>28</v>
      </c>
      <c r="H50" t="s">
        <v>32</v>
      </c>
      <c r="I50" t="s">
        <v>30</v>
      </c>
      <c r="J50">
        <v>94</v>
      </c>
      <c r="K50">
        <v>188</v>
      </c>
      <c r="L50">
        <v>1344</v>
      </c>
      <c r="M50">
        <v>3514</v>
      </c>
      <c r="N50">
        <v>0</v>
      </c>
      <c r="O50">
        <v>2170</v>
      </c>
      <c r="P50">
        <v>908</v>
      </c>
      <c r="Q50">
        <v>83</v>
      </c>
      <c r="R50">
        <v>12</v>
      </c>
      <c r="S50">
        <v>248</v>
      </c>
      <c r="T50">
        <v>83</v>
      </c>
      <c r="U50">
        <v>12</v>
      </c>
      <c r="V50">
        <v>14</v>
      </c>
      <c r="W50">
        <v>0</v>
      </c>
    </row>
    <row r="51" spans="1:23" x14ac:dyDescent="0.25">
      <c r="A51" t="s">
        <v>23</v>
      </c>
      <c r="B51" t="s">
        <v>24</v>
      </c>
      <c r="C51" t="s">
        <v>25</v>
      </c>
      <c r="D51" t="s">
        <v>26</v>
      </c>
      <c r="E51">
        <v>7</v>
      </c>
      <c r="F51" t="s">
        <v>62</v>
      </c>
      <c r="G51" t="s">
        <v>28</v>
      </c>
      <c r="H51" t="s">
        <v>64</v>
      </c>
      <c r="I51" t="s">
        <v>30</v>
      </c>
      <c r="J51">
        <v>0</v>
      </c>
      <c r="K51">
        <v>28</v>
      </c>
      <c r="L51">
        <v>28</v>
      </c>
      <c r="M51">
        <v>172</v>
      </c>
      <c r="N51">
        <v>0</v>
      </c>
      <c r="O51">
        <v>145</v>
      </c>
      <c r="P51">
        <v>0</v>
      </c>
      <c r="Q51">
        <v>28</v>
      </c>
      <c r="R51">
        <v>0</v>
      </c>
      <c r="S51">
        <v>0</v>
      </c>
      <c r="T51">
        <v>0</v>
      </c>
      <c r="U51">
        <v>0</v>
      </c>
      <c r="V51">
        <v>14</v>
      </c>
      <c r="W51">
        <v>0</v>
      </c>
    </row>
    <row r="52" spans="1:23" x14ac:dyDescent="0.25">
      <c r="A52" t="s">
        <v>23</v>
      </c>
      <c r="B52" t="s">
        <v>24</v>
      </c>
      <c r="C52" t="s">
        <v>25</v>
      </c>
      <c r="D52" t="s">
        <v>26</v>
      </c>
      <c r="E52">
        <v>7</v>
      </c>
      <c r="F52" t="s">
        <v>62</v>
      </c>
      <c r="G52" t="s">
        <v>28</v>
      </c>
      <c r="H52" t="s">
        <v>34</v>
      </c>
      <c r="I52" t="s">
        <v>30</v>
      </c>
      <c r="J52">
        <v>110</v>
      </c>
      <c r="K52">
        <v>137</v>
      </c>
      <c r="L52">
        <v>990</v>
      </c>
      <c r="M52">
        <v>2002</v>
      </c>
      <c r="N52">
        <v>8</v>
      </c>
      <c r="O52">
        <v>1013</v>
      </c>
      <c r="P52">
        <v>688</v>
      </c>
      <c r="Q52">
        <v>0</v>
      </c>
      <c r="R52">
        <v>27</v>
      </c>
      <c r="S52">
        <v>165</v>
      </c>
      <c r="T52">
        <v>83</v>
      </c>
      <c r="U52">
        <v>27</v>
      </c>
      <c r="V52">
        <v>14</v>
      </c>
      <c r="W52">
        <v>0</v>
      </c>
    </row>
    <row r="53" spans="1:23" x14ac:dyDescent="0.25">
      <c r="A53" t="s">
        <v>23</v>
      </c>
      <c r="B53" t="s">
        <v>24</v>
      </c>
      <c r="C53" t="s">
        <v>25</v>
      </c>
      <c r="D53" t="s">
        <v>26</v>
      </c>
      <c r="E53">
        <v>7</v>
      </c>
      <c r="F53" t="s">
        <v>62</v>
      </c>
      <c r="G53" t="s">
        <v>28</v>
      </c>
      <c r="H53" t="s">
        <v>35</v>
      </c>
      <c r="I53" t="s">
        <v>30</v>
      </c>
      <c r="J53">
        <v>70</v>
      </c>
      <c r="K53">
        <v>86</v>
      </c>
      <c r="L53">
        <v>86</v>
      </c>
      <c r="M53">
        <v>375</v>
      </c>
      <c r="N53">
        <v>0</v>
      </c>
      <c r="O53">
        <v>289</v>
      </c>
      <c r="P53">
        <v>0</v>
      </c>
      <c r="Q53">
        <v>0</v>
      </c>
      <c r="R53">
        <v>15</v>
      </c>
      <c r="S53">
        <v>0</v>
      </c>
      <c r="T53">
        <v>55</v>
      </c>
      <c r="U53">
        <v>15</v>
      </c>
      <c r="V53">
        <v>14</v>
      </c>
      <c r="W53">
        <v>0</v>
      </c>
    </row>
    <row r="54" spans="1:23" x14ac:dyDescent="0.25">
      <c r="A54" t="s">
        <v>23</v>
      </c>
      <c r="B54" t="s">
        <v>24</v>
      </c>
      <c r="C54" t="s">
        <v>25</v>
      </c>
      <c r="D54" t="s">
        <v>26</v>
      </c>
      <c r="E54">
        <v>7</v>
      </c>
      <c r="F54" t="s">
        <v>62</v>
      </c>
      <c r="G54" t="s">
        <v>28</v>
      </c>
      <c r="H54" t="s">
        <v>65</v>
      </c>
      <c r="I54" t="s">
        <v>37</v>
      </c>
      <c r="J54">
        <v>0</v>
      </c>
      <c r="K54">
        <v>0</v>
      </c>
      <c r="L54">
        <v>0</v>
      </c>
      <c r="M54">
        <v>72</v>
      </c>
      <c r="N54">
        <v>0</v>
      </c>
      <c r="O54">
        <v>72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14</v>
      </c>
      <c r="W54">
        <v>0</v>
      </c>
    </row>
    <row r="55" spans="1:23" x14ac:dyDescent="0.25">
      <c r="A55" t="s">
        <v>23</v>
      </c>
      <c r="B55" t="s">
        <v>24</v>
      </c>
      <c r="C55" t="s">
        <v>25</v>
      </c>
      <c r="D55" t="s">
        <v>26</v>
      </c>
      <c r="E55">
        <v>7</v>
      </c>
      <c r="F55" t="s">
        <v>62</v>
      </c>
      <c r="G55" t="s">
        <v>28</v>
      </c>
      <c r="H55" t="s">
        <v>38</v>
      </c>
      <c r="I55" t="s">
        <v>37</v>
      </c>
      <c r="J55">
        <v>0</v>
      </c>
      <c r="K55">
        <v>0</v>
      </c>
      <c r="L55">
        <v>495</v>
      </c>
      <c r="M55">
        <v>785</v>
      </c>
      <c r="N55">
        <v>0</v>
      </c>
      <c r="O55">
        <v>289</v>
      </c>
      <c r="P55">
        <v>330</v>
      </c>
      <c r="Q55">
        <v>0</v>
      </c>
      <c r="R55">
        <v>0</v>
      </c>
      <c r="S55">
        <v>165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t="s">
        <v>23</v>
      </c>
      <c r="B56" t="s">
        <v>24</v>
      </c>
      <c r="C56" t="s">
        <v>25</v>
      </c>
      <c r="D56" t="s">
        <v>26</v>
      </c>
      <c r="E56">
        <v>7</v>
      </c>
      <c r="F56" t="s">
        <v>62</v>
      </c>
      <c r="G56" t="s">
        <v>28</v>
      </c>
      <c r="H56" t="s">
        <v>66</v>
      </c>
      <c r="I56" t="s">
        <v>37</v>
      </c>
      <c r="J56">
        <v>0</v>
      </c>
      <c r="K56">
        <v>193</v>
      </c>
      <c r="L56">
        <v>1155</v>
      </c>
      <c r="M56">
        <v>1155</v>
      </c>
      <c r="N56">
        <v>220</v>
      </c>
      <c r="O56">
        <v>0</v>
      </c>
      <c r="P56">
        <v>963</v>
      </c>
      <c r="Q56">
        <v>193</v>
      </c>
      <c r="R56">
        <v>0</v>
      </c>
      <c r="S56">
        <v>0</v>
      </c>
      <c r="T56">
        <v>0</v>
      </c>
      <c r="U56">
        <v>0</v>
      </c>
      <c r="V56">
        <v>14</v>
      </c>
      <c r="W56">
        <v>0</v>
      </c>
    </row>
    <row r="57" spans="1:23" x14ac:dyDescent="0.25">
      <c r="A57" t="s">
        <v>23</v>
      </c>
      <c r="B57" t="s">
        <v>24</v>
      </c>
      <c r="C57" t="s">
        <v>25</v>
      </c>
      <c r="D57" t="s">
        <v>26</v>
      </c>
      <c r="E57">
        <v>7</v>
      </c>
      <c r="F57" t="s">
        <v>62</v>
      </c>
      <c r="G57" t="s">
        <v>28</v>
      </c>
      <c r="H57" t="s">
        <v>39</v>
      </c>
      <c r="I57" t="s">
        <v>37</v>
      </c>
      <c r="J57">
        <v>0</v>
      </c>
      <c r="K57">
        <v>0</v>
      </c>
      <c r="L57">
        <v>28</v>
      </c>
      <c r="M57">
        <v>28</v>
      </c>
      <c r="N57">
        <v>0</v>
      </c>
      <c r="O57">
        <v>0</v>
      </c>
      <c r="P57">
        <v>0</v>
      </c>
      <c r="Q57">
        <v>0</v>
      </c>
      <c r="R57">
        <v>0</v>
      </c>
      <c r="S57">
        <v>28</v>
      </c>
      <c r="T57">
        <v>0</v>
      </c>
      <c r="U57">
        <v>0</v>
      </c>
      <c r="V57">
        <v>14</v>
      </c>
      <c r="W57">
        <v>0</v>
      </c>
    </row>
    <row r="58" spans="1:23" x14ac:dyDescent="0.25">
      <c r="A58" t="s">
        <v>23</v>
      </c>
      <c r="B58" t="s">
        <v>24</v>
      </c>
      <c r="C58" t="s">
        <v>25</v>
      </c>
      <c r="D58" t="s">
        <v>26</v>
      </c>
      <c r="E58">
        <v>7</v>
      </c>
      <c r="F58" t="s">
        <v>62</v>
      </c>
      <c r="G58" t="s">
        <v>28</v>
      </c>
      <c r="H58" t="s">
        <v>41</v>
      </c>
      <c r="I58" t="s">
        <v>37</v>
      </c>
      <c r="J58">
        <v>722</v>
      </c>
      <c r="K58">
        <v>1003</v>
      </c>
      <c r="L58">
        <v>3314</v>
      </c>
      <c r="M58">
        <v>4182</v>
      </c>
      <c r="N58">
        <v>177</v>
      </c>
      <c r="O58">
        <v>868</v>
      </c>
      <c r="P58">
        <v>1926</v>
      </c>
      <c r="Q58">
        <v>193</v>
      </c>
      <c r="R58">
        <v>89</v>
      </c>
      <c r="S58">
        <v>385</v>
      </c>
      <c r="T58">
        <v>633</v>
      </c>
      <c r="U58">
        <v>89</v>
      </c>
      <c r="V58">
        <v>14</v>
      </c>
      <c r="W58">
        <v>1</v>
      </c>
    </row>
    <row r="59" spans="1:23" x14ac:dyDescent="0.25">
      <c r="A59" t="s">
        <v>23</v>
      </c>
      <c r="B59" t="s">
        <v>24</v>
      </c>
      <c r="C59" t="s">
        <v>25</v>
      </c>
      <c r="D59" t="s">
        <v>26</v>
      </c>
      <c r="E59">
        <v>7</v>
      </c>
      <c r="F59" t="s">
        <v>62</v>
      </c>
      <c r="G59" t="s">
        <v>28</v>
      </c>
      <c r="H59" t="s">
        <v>67</v>
      </c>
      <c r="I59" t="s">
        <v>37</v>
      </c>
      <c r="J59">
        <v>521</v>
      </c>
      <c r="K59">
        <v>766</v>
      </c>
      <c r="L59">
        <v>1289</v>
      </c>
      <c r="M59">
        <v>1289</v>
      </c>
      <c r="N59">
        <v>172</v>
      </c>
      <c r="O59">
        <v>0</v>
      </c>
      <c r="P59">
        <v>275</v>
      </c>
      <c r="Q59">
        <v>110</v>
      </c>
      <c r="R59">
        <v>135</v>
      </c>
      <c r="S59">
        <v>248</v>
      </c>
      <c r="T59">
        <v>385</v>
      </c>
      <c r="U59">
        <v>135</v>
      </c>
      <c r="V59">
        <v>14</v>
      </c>
      <c r="W59">
        <v>2</v>
      </c>
    </row>
    <row r="60" spans="1:23" x14ac:dyDescent="0.25">
      <c r="A60" t="s">
        <v>23</v>
      </c>
      <c r="B60" t="s">
        <v>24</v>
      </c>
      <c r="C60" t="s">
        <v>25</v>
      </c>
      <c r="D60" t="s">
        <v>26</v>
      </c>
      <c r="E60">
        <v>7</v>
      </c>
      <c r="F60" t="s">
        <v>62</v>
      </c>
      <c r="G60" t="s">
        <v>28</v>
      </c>
      <c r="H60" t="s">
        <v>42</v>
      </c>
      <c r="I60" t="s">
        <v>43</v>
      </c>
      <c r="J60">
        <v>231</v>
      </c>
      <c r="K60">
        <v>325</v>
      </c>
      <c r="L60">
        <v>518</v>
      </c>
      <c r="M60">
        <v>518</v>
      </c>
      <c r="N60">
        <v>0</v>
      </c>
      <c r="O60">
        <v>0</v>
      </c>
      <c r="P60">
        <v>110</v>
      </c>
      <c r="Q60">
        <v>55</v>
      </c>
      <c r="R60">
        <v>39</v>
      </c>
      <c r="S60">
        <v>83</v>
      </c>
      <c r="T60">
        <v>193</v>
      </c>
      <c r="U60">
        <v>39</v>
      </c>
      <c r="V60">
        <v>14</v>
      </c>
      <c r="W60">
        <v>0</v>
      </c>
    </row>
    <row r="61" spans="1:23" x14ac:dyDescent="0.25">
      <c r="A61" t="s">
        <v>23</v>
      </c>
      <c r="B61" t="s">
        <v>24</v>
      </c>
      <c r="C61" t="s">
        <v>25</v>
      </c>
      <c r="D61" t="s">
        <v>26</v>
      </c>
      <c r="E61">
        <v>7</v>
      </c>
      <c r="F61" t="s">
        <v>62</v>
      </c>
      <c r="G61" t="s">
        <v>28</v>
      </c>
      <c r="H61" t="s">
        <v>44</v>
      </c>
      <c r="I61" t="s">
        <v>43</v>
      </c>
      <c r="J61">
        <v>63</v>
      </c>
      <c r="K61">
        <v>98</v>
      </c>
      <c r="L61">
        <v>98</v>
      </c>
      <c r="M61">
        <v>98</v>
      </c>
      <c r="N61">
        <v>0</v>
      </c>
      <c r="O61">
        <v>0</v>
      </c>
      <c r="P61">
        <v>0</v>
      </c>
      <c r="Q61">
        <v>28</v>
      </c>
      <c r="R61">
        <v>8</v>
      </c>
      <c r="S61">
        <v>0</v>
      </c>
      <c r="T61">
        <v>55</v>
      </c>
      <c r="U61">
        <v>8</v>
      </c>
      <c r="V61">
        <v>14</v>
      </c>
      <c r="W61">
        <v>0</v>
      </c>
    </row>
    <row r="62" spans="1:23" x14ac:dyDescent="0.25">
      <c r="A62" t="s">
        <v>23</v>
      </c>
      <c r="B62" t="s">
        <v>24</v>
      </c>
      <c r="C62" t="s">
        <v>25</v>
      </c>
      <c r="D62" t="s">
        <v>26</v>
      </c>
      <c r="E62">
        <v>7</v>
      </c>
      <c r="F62" t="s">
        <v>62</v>
      </c>
      <c r="G62" t="s">
        <v>28</v>
      </c>
      <c r="H62" t="s">
        <v>45</v>
      </c>
      <c r="I62" t="s">
        <v>43</v>
      </c>
      <c r="J62">
        <v>132</v>
      </c>
      <c r="K62">
        <v>210</v>
      </c>
      <c r="L62">
        <v>210</v>
      </c>
      <c r="M62">
        <v>210</v>
      </c>
      <c r="N62">
        <v>0</v>
      </c>
      <c r="O62">
        <v>0</v>
      </c>
      <c r="P62">
        <v>0</v>
      </c>
      <c r="Q62">
        <v>0</v>
      </c>
      <c r="R62">
        <v>77</v>
      </c>
      <c r="S62">
        <v>0</v>
      </c>
      <c r="T62">
        <v>55</v>
      </c>
      <c r="U62">
        <v>77</v>
      </c>
      <c r="V62">
        <v>14</v>
      </c>
      <c r="W62">
        <v>0</v>
      </c>
    </row>
    <row r="63" spans="1:23" x14ac:dyDescent="0.25">
      <c r="A63" t="s">
        <v>23</v>
      </c>
      <c r="B63" t="s">
        <v>24</v>
      </c>
      <c r="C63" t="s">
        <v>25</v>
      </c>
      <c r="D63" t="s">
        <v>26</v>
      </c>
      <c r="E63">
        <v>7</v>
      </c>
      <c r="F63" t="s">
        <v>62</v>
      </c>
      <c r="G63" t="s">
        <v>28</v>
      </c>
      <c r="H63" t="s">
        <v>46</v>
      </c>
      <c r="I63" t="s">
        <v>43</v>
      </c>
      <c r="J63">
        <v>444</v>
      </c>
      <c r="K63">
        <v>448</v>
      </c>
      <c r="L63">
        <v>751</v>
      </c>
      <c r="M63">
        <v>751</v>
      </c>
      <c r="N63">
        <v>0</v>
      </c>
      <c r="O63">
        <v>0</v>
      </c>
      <c r="P63">
        <v>28</v>
      </c>
      <c r="Q63">
        <v>0</v>
      </c>
      <c r="R63">
        <v>4</v>
      </c>
      <c r="S63">
        <v>275</v>
      </c>
      <c r="T63">
        <v>440</v>
      </c>
      <c r="U63">
        <v>4</v>
      </c>
      <c r="V63">
        <v>14</v>
      </c>
      <c r="W63">
        <v>0</v>
      </c>
    </row>
    <row r="64" spans="1:23" x14ac:dyDescent="0.25">
      <c r="A64" t="s">
        <v>23</v>
      </c>
      <c r="B64" t="s">
        <v>24</v>
      </c>
      <c r="C64" t="s">
        <v>25</v>
      </c>
      <c r="D64" t="s">
        <v>26</v>
      </c>
      <c r="E64">
        <v>7</v>
      </c>
      <c r="F64" t="s">
        <v>62</v>
      </c>
      <c r="G64" t="s">
        <v>28</v>
      </c>
      <c r="H64" t="s">
        <v>47</v>
      </c>
      <c r="I64" t="s">
        <v>48</v>
      </c>
      <c r="J64">
        <v>263</v>
      </c>
      <c r="K64">
        <v>471</v>
      </c>
      <c r="L64">
        <v>1792</v>
      </c>
      <c r="M64">
        <v>2153</v>
      </c>
      <c r="N64">
        <v>141</v>
      </c>
      <c r="O64">
        <v>362</v>
      </c>
      <c r="P64">
        <v>688</v>
      </c>
      <c r="Q64">
        <v>193</v>
      </c>
      <c r="R64">
        <v>15</v>
      </c>
      <c r="S64">
        <v>633</v>
      </c>
      <c r="T64">
        <v>248</v>
      </c>
      <c r="U64">
        <v>15</v>
      </c>
      <c r="V64">
        <v>14</v>
      </c>
      <c r="W64">
        <v>1</v>
      </c>
    </row>
    <row r="65" spans="1:23" x14ac:dyDescent="0.25">
      <c r="A65" t="s">
        <v>23</v>
      </c>
      <c r="B65" t="s">
        <v>24</v>
      </c>
      <c r="C65" t="s">
        <v>25</v>
      </c>
      <c r="D65" t="s">
        <v>26</v>
      </c>
      <c r="E65">
        <v>7</v>
      </c>
      <c r="F65" t="s">
        <v>62</v>
      </c>
      <c r="G65" t="s">
        <v>28</v>
      </c>
      <c r="H65" t="s">
        <v>50</v>
      </c>
      <c r="I65" t="s">
        <v>50</v>
      </c>
      <c r="J65">
        <v>369</v>
      </c>
      <c r="K65">
        <v>408</v>
      </c>
      <c r="L65">
        <v>1729</v>
      </c>
      <c r="M65">
        <v>1801</v>
      </c>
      <c r="N65">
        <v>28</v>
      </c>
      <c r="O65">
        <v>72</v>
      </c>
      <c r="P65">
        <v>1100</v>
      </c>
      <c r="Q65">
        <v>28</v>
      </c>
      <c r="R65">
        <v>12</v>
      </c>
      <c r="S65">
        <v>220</v>
      </c>
      <c r="T65">
        <v>358</v>
      </c>
      <c r="U65">
        <v>12</v>
      </c>
      <c r="V65">
        <v>14</v>
      </c>
      <c r="W65">
        <v>0</v>
      </c>
    </row>
    <row r="66" spans="1:23" x14ac:dyDescent="0.25">
      <c r="A66" t="s">
        <v>23</v>
      </c>
      <c r="B66" t="s">
        <v>24</v>
      </c>
      <c r="C66" t="s">
        <v>25</v>
      </c>
      <c r="D66" t="s">
        <v>68</v>
      </c>
      <c r="E66">
        <v>7</v>
      </c>
      <c r="F66" t="s">
        <v>62</v>
      </c>
      <c r="G66" t="s">
        <v>28</v>
      </c>
      <c r="H66" t="s">
        <v>29</v>
      </c>
      <c r="I66" t="s">
        <v>30</v>
      </c>
      <c r="J66">
        <v>37</v>
      </c>
      <c r="K66">
        <v>37</v>
      </c>
      <c r="L66">
        <v>55</v>
      </c>
      <c r="M66">
        <v>151</v>
      </c>
      <c r="N66">
        <v>0</v>
      </c>
      <c r="O66">
        <v>96</v>
      </c>
      <c r="P66">
        <v>18</v>
      </c>
      <c r="Q66">
        <v>0</v>
      </c>
      <c r="R66">
        <v>0</v>
      </c>
      <c r="S66">
        <v>0</v>
      </c>
      <c r="T66">
        <v>37</v>
      </c>
      <c r="U66">
        <v>0</v>
      </c>
      <c r="V66">
        <v>21</v>
      </c>
      <c r="W66">
        <v>0</v>
      </c>
    </row>
    <row r="67" spans="1:23" x14ac:dyDescent="0.25">
      <c r="A67" t="s">
        <v>23</v>
      </c>
      <c r="B67" t="s">
        <v>24</v>
      </c>
      <c r="C67" t="s">
        <v>25</v>
      </c>
      <c r="D67" t="s">
        <v>68</v>
      </c>
      <c r="E67">
        <v>7</v>
      </c>
      <c r="F67" t="s">
        <v>62</v>
      </c>
      <c r="G67" t="s">
        <v>28</v>
      </c>
      <c r="H67" t="s">
        <v>53</v>
      </c>
      <c r="I67" t="s">
        <v>30</v>
      </c>
      <c r="J67">
        <v>3</v>
      </c>
      <c r="K67">
        <v>5</v>
      </c>
      <c r="L67">
        <v>5</v>
      </c>
      <c r="M67">
        <v>5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3</v>
      </c>
      <c r="V67">
        <v>21</v>
      </c>
      <c r="W67">
        <v>0</v>
      </c>
    </row>
    <row r="68" spans="1:23" x14ac:dyDescent="0.25">
      <c r="A68" t="s">
        <v>23</v>
      </c>
      <c r="B68" t="s">
        <v>24</v>
      </c>
      <c r="C68" t="s">
        <v>25</v>
      </c>
      <c r="D68" t="s">
        <v>68</v>
      </c>
      <c r="E68">
        <v>7</v>
      </c>
      <c r="F68" t="s">
        <v>62</v>
      </c>
      <c r="G68" t="s">
        <v>28</v>
      </c>
      <c r="H68" t="s">
        <v>54</v>
      </c>
      <c r="I68" t="s">
        <v>30</v>
      </c>
      <c r="J68">
        <v>3</v>
      </c>
      <c r="K68">
        <v>5</v>
      </c>
      <c r="L68">
        <v>5</v>
      </c>
      <c r="M68">
        <v>391</v>
      </c>
      <c r="N68">
        <v>0</v>
      </c>
      <c r="O68">
        <v>386</v>
      </c>
      <c r="P68">
        <v>0</v>
      </c>
      <c r="Q68">
        <v>0</v>
      </c>
      <c r="R68">
        <v>3</v>
      </c>
      <c r="S68">
        <v>0</v>
      </c>
      <c r="T68">
        <v>0</v>
      </c>
      <c r="U68">
        <v>3</v>
      </c>
      <c r="V68">
        <v>21</v>
      </c>
      <c r="W68">
        <v>0</v>
      </c>
    </row>
    <row r="69" spans="1:23" x14ac:dyDescent="0.25">
      <c r="A69" t="s">
        <v>23</v>
      </c>
      <c r="B69" t="s">
        <v>24</v>
      </c>
      <c r="C69" t="s">
        <v>25</v>
      </c>
      <c r="D69" t="s">
        <v>68</v>
      </c>
      <c r="E69">
        <v>7</v>
      </c>
      <c r="F69" t="s">
        <v>62</v>
      </c>
      <c r="G69" t="s">
        <v>28</v>
      </c>
      <c r="H69" t="s">
        <v>63</v>
      </c>
      <c r="I69" t="s">
        <v>30</v>
      </c>
      <c r="J69">
        <v>73</v>
      </c>
      <c r="K69">
        <v>73</v>
      </c>
      <c r="L69">
        <v>92</v>
      </c>
      <c r="M69">
        <v>92</v>
      </c>
      <c r="N69">
        <v>18</v>
      </c>
      <c r="O69">
        <v>0</v>
      </c>
      <c r="P69">
        <v>18</v>
      </c>
      <c r="Q69">
        <v>0</v>
      </c>
      <c r="R69">
        <v>0</v>
      </c>
      <c r="S69">
        <v>0</v>
      </c>
      <c r="T69">
        <v>73</v>
      </c>
      <c r="U69">
        <v>0</v>
      </c>
      <c r="V69">
        <v>21</v>
      </c>
      <c r="W69">
        <v>0</v>
      </c>
    </row>
    <row r="70" spans="1:23" x14ac:dyDescent="0.25">
      <c r="A70" t="s">
        <v>23</v>
      </c>
      <c r="B70" t="s">
        <v>24</v>
      </c>
      <c r="C70" t="s">
        <v>25</v>
      </c>
      <c r="D70" t="s">
        <v>68</v>
      </c>
      <c r="E70">
        <v>7</v>
      </c>
      <c r="F70" t="s">
        <v>62</v>
      </c>
      <c r="G70" t="s">
        <v>28</v>
      </c>
      <c r="H70" t="s">
        <v>31</v>
      </c>
      <c r="I70" t="s">
        <v>30</v>
      </c>
      <c r="J70">
        <v>245</v>
      </c>
      <c r="K70">
        <v>728</v>
      </c>
      <c r="L70">
        <v>2654</v>
      </c>
      <c r="M70">
        <v>8538</v>
      </c>
      <c r="N70">
        <v>65</v>
      </c>
      <c r="O70">
        <v>5884</v>
      </c>
      <c r="P70">
        <v>1926</v>
      </c>
      <c r="Q70">
        <v>385</v>
      </c>
      <c r="R70">
        <v>98</v>
      </c>
      <c r="S70">
        <v>0</v>
      </c>
      <c r="T70">
        <v>147</v>
      </c>
      <c r="U70">
        <v>98</v>
      </c>
      <c r="V70">
        <v>21</v>
      </c>
      <c r="W70">
        <v>2</v>
      </c>
    </row>
    <row r="71" spans="1:23" x14ac:dyDescent="0.25">
      <c r="A71" t="s">
        <v>23</v>
      </c>
      <c r="B71" t="s">
        <v>24</v>
      </c>
      <c r="C71" t="s">
        <v>25</v>
      </c>
      <c r="D71" t="s">
        <v>68</v>
      </c>
      <c r="E71">
        <v>7</v>
      </c>
      <c r="F71" t="s">
        <v>62</v>
      </c>
      <c r="G71" t="s">
        <v>28</v>
      </c>
      <c r="H71" t="s">
        <v>32</v>
      </c>
      <c r="I71" t="s">
        <v>30</v>
      </c>
      <c r="J71">
        <v>173</v>
      </c>
      <c r="K71">
        <v>236</v>
      </c>
      <c r="L71">
        <v>474</v>
      </c>
      <c r="M71">
        <v>474</v>
      </c>
      <c r="N71">
        <v>21</v>
      </c>
      <c r="O71">
        <v>0</v>
      </c>
      <c r="P71">
        <v>238</v>
      </c>
      <c r="Q71">
        <v>55</v>
      </c>
      <c r="R71">
        <v>8</v>
      </c>
      <c r="S71">
        <v>0</v>
      </c>
      <c r="T71">
        <v>165</v>
      </c>
      <c r="U71">
        <v>8</v>
      </c>
      <c r="V71">
        <v>21</v>
      </c>
      <c r="W71">
        <v>0</v>
      </c>
    </row>
    <row r="72" spans="1:23" x14ac:dyDescent="0.25">
      <c r="A72" t="s">
        <v>23</v>
      </c>
      <c r="B72" t="s">
        <v>24</v>
      </c>
      <c r="C72" t="s">
        <v>25</v>
      </c>
      <c r="D72" t="s">
        <v>68</v>
      </c>
      <c r="E72">
        <v>7</v>
      </c>
      <c r="F72" t="s">
        <v>62</v>
      </c>
      <c r="G72" t="s">
        <v>28</v>
      </c>
      <c r="H72" t="s">
        <v>69</v>
      </c>
      <c r="I72" t="s">
        <v>30</v>
      </c>
      <c r="J72">
        <v>18</v>
      </c>
      <c r="K72">
        <v>18</v>
      </c>
      <c r="L72">
        <v>18</v>
      </c>
      <c r="M72">
        <v>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18</v>
      </c>
      <c r="U72">
        <v>0</v>
      </c>
      <c r="V72">
        <v>21</v>
      </c>
      <c r="W72">
        <v>0</v>
      </c>
    </row>
    <row r="73" spans="1:23" x14ac:dyDescent="0.25">
      <c r="A73" t="s">
        <v>23</v>
      </c>
      <c r="B73" t="s">
        <v>24</v>
      </c>
      <c r="C73" t="s">
        <v>25</v>
      </c>
      <c r="D73" t="s">
        <v>68</v>
      </c>
      <c r="E73">
        <v>7</v>
      </c>
      <c r="F73" t="s">
        <v>62</v>
      </c>
      <c r="G73" t="s">
        <v>28</v>
      </c>
      <c r="H73" t="s">
        <v>33</v>
      </c>
      <c r="I73" t="s">
        <v>30</v>
      </c>
      <c r="J73">
        <v>3</v>
      </c>
      <c r="K73">
        <v>5</v>
      </c>
      <c r="L73">
        <v>134</v>
      </c>
      <c r="M73">
        <v>134</v>
      </c>
      <c r="N73">
        <v>0</v>
      </c>
      <c r="O73">
        <v>0</v>
      </c>
      <c r="P73">
        <v>128</v>
      </c>
      <c r="Q73">
        <v>0</v>
      </c>
      <c r="R73">
        <v>3</v>
      </c>
      <c r="S73">
        <v>0</v>
      </c>
      <c r="T73">
        <v>0</v>
      </c>
      <c r="U73">
        <v>3</v>
      </c>
      <c r="V73">
        <v>21</v>
      </c>
      <c r="W73">
        <v>0</v>
      </c>
    </row>
    <row r="74" spans="1:23" x14ac:dyDescent="0.25">
      <c r="A74" t="s">
        <v>23</v>
      </c>
      <c r="B74" t="s">
        <v>24</v>
      </c>
      <c r="C74" t="s">
        <v>25</v>
      </c>
      <c r="D74" t="s">
        <v>68</v>
      </c>
      <c r="E74">
        <v>7</v>
      </c>
      <c r="F74" t="s">
        <v>62</v>
      </c>
      <c r="G74" t="s">
        <v>28</v>
      </c>
      <c r="H74" t="s">
        <v>34</v>
      </c>
      <c r="I74" t="s">
        <v>30</v>
      </c>
      <c r="J74">
        <v>37</v>
      </c>
      <c r="K74">
        <v>55</v>
      </c>
      <c r="L74">
        <v>220</v>
      </c>
      <c r="M74">
        <v>220</v>
      </c>
      <c r="N74">
        <v>0</v>
      </c>
      <c r="O74">
        <v>0</v>
      </c>
      <c r="P74">
        <v>165</v>
      </c>
      <c r="Q74">
        <v>18</v>
      </c>
      <c r="R74">
        <v>0</v>
      </c>
      <c r="S74">
        <v>0</v>
      </c>
      <c r="T74">
        <v>37</v>
      </c>
      <c r="U74">
        <v>0</v>
      </c>
      <c r="V74">
        <v>21</v>
      </c>
      <c r="W74">
        <v>0</v>
      </c>
    </row>
    <row r="75" spans="1:23" x14ac:dyDescent="0.25">
      <c r="A75" t="s">
        <v>23</v>
      </c>
      <c r="B75" t="s">
        <v>24</v>
      </c>
      <c r="C75" t="s">
        <v>25</v>
      </c>
      <c r="D75" t="s">
        <v>68</v>
      </c>
      <c r="E75">
        <v>7</v>
      </c>
      <c r="F75" t="s">
        <v>62</v>
      </c>
      <c r="G75" t="s">
        <v>28</v>
      </c>
      <c r="H75" t="s">
        <v>35</v>
      </c>
      <c r="I75" t="s">
        <v>30</v>
      </c>
      <c r="J75">
        <v>0</v>
      </c>
      <c r="K75">
        <v>0</v>
      </c>
      <c r="L75">
        <v>367</v>
      </c>
      <c r="M75">
        <v>560</v>
      </c>
      <c r="N75">
        <v>0</v>
      </c>
      <c r="O75">
        <v>193</v>
      </c>
      <c r="P75">
        <v>330</v>
      </c>
      <c r="Q75">
        <v>0</v>
      </c>
      <c r="R75">
        <v>0</v>
      </c>
      <c r="S75">
        <v>37</v>
      </c>
      <c r="T75">
        <v>0</v>
      </c>
      <c r="U75">
        <v>0</v>
      </c>
      <c r="V75">
        <v>21</v>
      </c>
      <c r="W75">
        <v>0</v>
      </c>
    </row>
    <row r="76" spans="1:23" x14ac:dyDescent="0.25">
      <c r="A76" t="s">
        <v>23</v>
      </c>
      <c r="B76" t="s">
        <v>24</v>
      </c>
      <c r="C76" t="s">
        <v>25</v>
      </c>
      <c r="D76" t="s">
        <v>68</v>
      </c>
      <c r="E76">
        <v>7</v>
      </c>
      <c r="F76" t="s">
        <v>62</v>
      </c>
      <c r="G76" t="s">
        <v>28</v>
      </c>
      <c r="H76" t="s">
        <v>70</v>
      </c>
      <c r="I76" t="s">
        <v>30</v>
      </c>
      <c r="J76">
        <v>3</v>
      </c>
      <c r="K76">
        <v>5</v>
      </c>
      <c r="L76">
        <v>5</v>
      </c>
      <c r="M76">
        <v>5</v>
      </c>
      <c r="N76">
        <v>0</v>
      </c>
      <c r="O76">
        <v>0</v>
      </c>
      <c r="P76">
        <v>0</v>
      </c>
      <c r="Q76">
        <v>0</v>
      </c>
      <c r="R76">
        <v>3</v>
      </c>
      <c r="S76">
        <v>0</v>
      </c>
      <c r="T76">
        <v>0</v>
      </c>
      <c r="U76">
        <v>3</v>
      </c>
      <c r="V76">
        <v>21</v>
      </c>
      <c r="W76">
        <v>0</v>
      </c>
    </row>
    <row r="77" spans="1:23" x14ac:dyDescent="0.25">
      <c r="A77" t="s">
        <v>23</v>
      </c>
      <c r="B77" t="s">
        <v>24</v>
      </c>
      <c r="C77" t="s">
        <v>25</v>
      </c>
      <c r="D77" t="s">
        <v>68</v>
      </c>
      <c r="E77">
        <v>7</v>
      </c>
      <c r="F77" t="s">
        <v>62</v>
      </c>
      <c r="G77" t="s">
        <v>28</v>
      </c>
      <c r="H77" t="s">
        <v>71</v>
      </c>
      <c r="I77" t="s">
        <v>37</v>
      </c>
      <c r="J77">
        <v>29</v>
      </c>
      <c r="K77">
        <v>39</v>
      </c>
      <c r="L77">
        <v>39</v>
      </c>
      <c r="M77">
        <v>87</v>
      </c>
      <c r="N77">
        <v>0</v>
      </c>
      <c r="O77">
        <v>48</v>
      </c>
      <c r="P77">
        <v>0</v>
      </c>
      <c r="Q77">
        <v>0</v>
      </c>
      <c r="R77">
        <v>10</v>
      </c>
      <c r="S77">
        <v>0</v>
      </c>
      <c r="T77">
        <v>18</v>
      </c>
      <c r="U77">
        <v>10</v>
      </c>
      <c r="V77">
        <v>21</v>
      </c>
      <c r="W77">
        <v>0</v>
      </c>
    </row>
    <row r="78" spans="1:23" x14ac:dyDescent="0.25">
      <c r="A78" t="s">
        <v>23</v>
      </c>
      <c r="B78" t="s">
        <v>24</v>
      </c>
      <c r="C78" t="s">
        <v>25</v>
      </c>
      <c r="D78" t="s">
        <v>68</v>
      </c>
      <c r="E78">
        <v>7</v>
      </c>
      <c r="F78" t="s">
        <v>62</v>
      </c>
      <c r="G78" t="s">
        <v>28</v>
      </c>
      <c r="H78" t="s">
        <v>36</v>
      </c>
      <c r="I78" t="s">
        <v>37</v>
      </c>
      <c r="J78">
        <v>1159</v>
      </c>
      <c r="K78">
        <v>1566</v>
      </c>
      <c r="L78">
        <v>1621</v>
      </c>
      <c r="M78">
        <v>1621</v>
      </c>
      <c r="N78">
        <v>8</v>
      </c>
      <c r="O78">
        <v>0</v>
      </c>
      <c r="P78">
        <v>55</v>
      </c>
      <c r="Q78">
        <v>128</v>
      </c>
      <c r="R78">
        <v>279</v>
      </c>
      <c r="S78">
        <v>0</v>
      </c>
      <c r="T78">
        <v>880</v>
      </c>
      <c r="U78">
        <v>279</v>
      </c>
      <c r="V78">
        <v>21</v>
      </c>
      <c r="W78">
        <v>0</v>
      </c>
    </row>
    <row r="79" spans="1:23" x14ac:dyDescent="0.25">
      <c r="A79" t="s">
        <v>23</v>
      </c>
      <c r="B79" t="s">
        <v>24</v>
      </c>
      <c r="C79" t="s">
        <v>25</v>
      </c>
      <c r="D79" t="s">
        <v>68</v>
      </c>
      <c r="E79">
        <v>7</v>
      </c>
      <c r="F79" t="s">
        <v>62</v>
      </c>
      <c r="G79" t="s">
        <v>28</v>
      </c>
      <c r="H79" t="s">
        <v>38</v>
      </c>
      <c r="I79" t="s">
        <v>37</v>
      </c>
      <c r="J79">
        <v>18</v>
      </c>
      <c r="K79">
        <v>18</v>
      </c>
      <c r="L79">
        <v>37</v>
      </c>
      <c r="M79">
        <v>37</v>
      </c>
      <c r="N79">
        <v>0</v>
      </c>
      <c r="O79">
        <v>0</v>
      </c>
      <c r="P79">
        <v>18</v>
      </c>
      <c r="Q79">
        <v>0</v>
      </c>
      <c r="R79">
        <v>0</v>
      </c>
      <c r="S79">
        <v>0</v>
      </c>
      <c r="T79">
        <v>18</v>
      </c>
      <c r="U79">
        <v>0</v>
      </c>
      <c r="V79">
        <v>21</v>
      </c>
      <c r="W79">
        <v>0</v>
      </c>
    </row>
    <row r="80" spans="1:23" x14ac:dyDescent="0.25">
      <c r="A80" t="s">
        <v>23</v>
      </c>
      <c r="B80" t="s">
        <v>24</v>
      </c>
      <c r="C80" t="s">
        <v>25</v>
      </c>
      <c r="D80" t="s">
        <v>68</v>
      </c>
      <c r="E80">
        <v>7</v>
      </c>
      <c r="F80" t="s">
        <v>62</v>
      </c>
      <c r="G80" t="s">
        <v>28</v>
      </c>
      <c r="H80" t="s">
        <v>39</v>
      </c>
      <c r="I80" t="s">
        <v>37</v>
      </c>
      <c r="J80">
        <v>18</v>
      </c>
      <c r="K80">
        <v>18</v>
      </c>
      <c r="L80">
        <v>18</v>
      </c>
      <c r="M80">
        <v>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18</v>
      </c>
      <c r="U80">
        <v>0</v>
      </c>
      <c r="V80">
        <v>21</v>
      </c>
      <c r="W80">
        <v>0</v>
      </c>
    </row>
    <row r="81" spans="1:23" x14ac:dyDescent="0.25">
      <c r="A81" t="s">
        <v>23</v>
      </c>
      <c r="B81" t="s">
        <v>24</v>
      </c>
      <c r="C81" t="s">
        <v>25</v>
      </c>
      <c r="D81" t="s">
        <v>68</v>
      </c>
      <c r="E81">
        <v>7</v>
      </c>
      <c r="F81" t="s">
        <v>62</v>
      </c>
      <c r="G81" t="s">
        <v>28</v>
      </c>
      <c r="H81" t="s">
        <v>40</v>
      </c>
      <c r="I81" t="s">
        <v>37</v>
      </c>
      <c r="J81">
        <v>102</v>
      </c>
      <c r="K81">
        <v>148</v>
      </c>
      <c r="L81">
        <v>148</v>
      </c>
      <c r="M81">
        <v>148</v>
      </c>
      <c r="N81">
        <v>0</v>
      </c>
      <c r="O81">
        <v>0</v>
      </c>
      <c r="P81">
        <v>0</v>
      </c>
      <c r="Q81">
        <v>18</v>
      </c>
      <c r="R81">
        <v>28</v>
      </c>
      <c r="S81">
        <v>0</v>
      </c>
      <c r="T81">
        <v>73</v>
      </c>
      <c r="U81">
        <v>28</v>
      </c>
      <c r="V81">
        <v>21</v>
      </c>
      <c r="W81">
        <v>0</v>
      </c>
    </row>
    <row r="82" spans="1:23" x14ac:dyDescent="0.25">
      <c r="A82" t="s">
        <v>23</v>
      </c>
      <c r="B82" t="s">
        <v>24</v>
      </c>
      <c r="C82" t="s">
        <v>25</v>
      </c>
      <c r="D82" t="s">
        <v>68</v>
      </c>
      <c r="E82">
        <v>7</v>
      </c>
      <c r="F82" t="s">
        <v>62</v>
      </c>
      <c r="G82" t="s">
        <v>28</v>
      </c>
      <c r="H82" t="s">
        <v>41</v>
      </c>
      <c r="I82" t="s">
        <v>37</v>
      </c>
      <c r="J82">
        <v>482</v>
      </c>
      <c r="K82">
        <v>616</v>
      </c>
      <c r="L82">
        <v>1257</v>
      </c>
      <c r="M82">
        <v>1306</v>
      </c>
      <c r="N82">
        <v>73</v>
      </c>
      <c r="O82">
        <v>48</v>
      </c>
      <c r="P82">
        <v>605</v>
      </c>
      <c r="Q82">
        <v>128</v>
      </c>
      <c r="R82">
        <v>5</v>
      </c>
      <c r="S82">
        <v>37</v>
      </c>
      <c r="T82">
        <v>477</v>
      </c>
      <c r="U82">
        <v>5</v>
      </c>
      <c r="V82">
        <v>21</v>
      </c>
      <c r="W82">
        <v>1</v>
      </c>
    </row>
    <row r="83" spans="1:23" x14ac:dyDescent="0.25">
      <c r="A83" t="s">
        <v>23</v>
      </c>
      <c r="B83" t="s">
        <v>24</v>
      </c>
      <c r="C83" t="s">
        <v>25</v>
      </c>
      <c r="D83" t="s">
        <v>68</v>
      </c>
      <c r="E83">
        <v>7</v>
      </c>
      <c r="F83" t="s">
        <v>62</v>
      </c>
      <c r="G83" t="s">
        <v>28</v>
      </c>
      <c r="H83" t="s">
        <v>60</v>
      </c>
      <c r="I83" t="s">
        <v>37</v>
      </c>
      <c r="J83">
        <v>18</v>
      </c>
      <c r="K83">
        <v>18</v>
      </c>
      <c r="L83">
        <v>18</v>
      </c>
      <c r="M83">
        <v>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18</v>
      </c>
      <c r="U83">
        <v>0</v>
      </c>
      <c r="V83">
        <v>21</v>
      </c>
      <c r="W83">
        <v>0</v>
      </c>
    </row>
    <row r="84" spans="1:23" x14ac:dyDescent="0.25">
      <c r="A84" t="s">
        <v>23</v>
      </c>
      <c r="B84" t="s">
        <v>24</v>
      </c>
      <c r="C84" t="s">
        <v>25</v>
      </c>
      <c r="D84" t="s">
        <v>68</v>
      </c>
      <c r="E84">
        <v>7</v>
      </c>
      <c r="F84" t="s">
        <v>62</v>
      </c>
      <c r="G84" t="s">
        <v>28</v>
      </c>
      <c r="H84" t="s">
        <v>42</v>
      </c>
      <c r="I84" t="s">
        <v>43</v>
      </c>
      <c r="J84">
        <v>3419</v>
      </c>
      <c r="K84">
        <v>3866</v>
      </c>
      <c r="L84">
        <v>5040</v>
      </c>
      <c r="M84">
        <v>5040</v>
      </c>
      <c r="N84">
        <v>734</v>
      </c>
      <c r="O84">
        <v>0</v>
      </c>
      <c r="P84">
        <v>935</v>
      </c>
      <c r="Q84">
        <v>403</v>
      </c>
      <c r="R84">
        <v>44</v>
      </c>
      <c r="S84">
        <v>238</v>
      </c>
      <c r="T84">
        <v>3375</v>
      </c>
      <c r="U84">
        <v>44</v>
      </c>
      <c r="V84">
        <v>21</v>
      </c>
      <c r="W84">
        <v>3</v>
      </c>
    </row>
    <row r="85" spans="1:23" x14ac:dyDescent="0.25">
      <c r="A85" t="s">
        <v>23</v>
      </c>
      <c r="B85" t="s">
        <v>24</v>
      </c>
      <c r="C85" t="s">
        <v>25</v>
      </c>
      <c r="D85" t="s">
        <v>68</v>
      </c>
      <c r="E85">
        <v>7</v>
      </c>
      <c r="F85" t="s">
        <v>62</v>
      </c>
      <c r="G85" t="s">
        <v>28</v>
      </c>
      <c r="H85" t="s">
        <v>44</v>
      </c>
      <c r="I85" t="s">
        <v>43</v>
      </c>
      <c r="J85">
        <v>26</v>
      </c>
      <c r="K85">
        <v>34</v>
      </c>
      <c r="L85">
        <v>52</v>
      </c>
      <c r="M85">
        <v>100</v>
      </c>
      <c r="N85">
        <v>0</v>
      </c>
      <c r="O85">
        <v>48</v>
      </c>
      <c r="P85">
        <v>18</v>
      </c>
      <c r="Q85">
        <v>0</v>
      </c>
      <c r="R85">
        <v>8</v>
      </c>
      <c r="S85">
        <v>0</v>
      </c>
      <c r="T85">
        <v>18</v>
      </c>
      <c r="U85">
        <v>8</v>
      </c>
      <c r="V85">
        <v>21</v>
      </c>
      <c r="W85">
        <v>0</v>
      </c>
    </row>
    <row r="86" spans="1:23" x14ac:dyDescent="0.25">
      <c r="A86" t="s">
        <v>23</v>
      </c>
      <c r="B86" t="s">
        <v>24</v>
      </c>
      <c r="C86" t="s">
        <v>25</v>
      </c>
      <c r="D86" t="s">
        <v>68</v>
      </c>
      <c r="E86">
        <v>7</v>
      </c>
      <c r="F86" t="s">
        <v>62</v>
      </c>
      <c r="G86" t="s">
        <v>28</v>
      </c>
      <c r="H86" t="s">
        <v>45</v>
      </c>
      <c r="I86" t="s">
        <v>43</v>
      </c>
      <c r="J86">
        <v>50</v>
      </c>
      <c r="K86">
        <v>62</v>
      </c>
      <c r="L86">
        <v>81</v>
      </c>
      <c r="M86">
        <v>129</v>
      </c>
      <c r="N86">
        <v>0</v>
      </c>
      <c r="O86">
        <v>48</v>
      </c>
      <c r="P86">
        <v>18</v>
      </c>
      <c r="Q86">
        <v>0</v>
      </c>
      <c r="R86">
        <v>13</v>
      </c>
      <c r="S86">
        <v>0</v>
      </c>
      <c r="T86">
        <v>37</v>
      </c>
      <c r="U86">
        <v>13</v>
      </c>
      <c r="V86">
        <v>21</v>
      </c>
      <c r="W86">
        <v>0</v>
      </c>
    </row>
    <row r="87" spans="1:23" x14ac:dyDescent="0.25">
      <c r="A87" t="s">
        <v>23</v>
      </c>
      <c r="B87" t="s">
        <v>24</v>
      </c>
      <c r="C87" t="s">
        <v>25</v>
      </c>
      <c r="D87" t="s">
        <v>68</v>
      </c>
      <c r="E87">
        <v>7</v>
      </c>
      <c r="F87" t="s">
        <v>62</v>
      </c>
      <c r="G87" t="s">
        <v>28</v>
      </c>
      <c r="H87" t="s">
        <v>46</v>
      </c>
      <c r="I87" t="s">
        <v>43</v>
      </c>
      <c r="J87">
        <v>317</v>
      </c>
      <c r="K87">
        <v>395</v>
      </c>
      <c r="L87">
        <v>450</v>
      </c>
      <c r="M87">
        <v>450</v>
      </c>
      <c r="N87">
        <v>60</v>
      </c>
      <c r="O87">
        <v>0</v>
      </c>
      <c r="P87">
        <v>55</v>
      </c>
      <c r="Q87">
        <v>55</v>
      </c>
      <c r="R87">
        <v>23</v>
      </c>
      <c r="S87">
        <v>0</v>
      </c>
      <c r="T87">
        <v>293</v>
      </c>
      <c r="U87">
        <v>23</v>
      </c>
      <c r="V87">
        <v>21</v>
      </c>
      <c r="W87">
        <v>1</v>
      </c>
    </row>
    <row r="88" spans="1:23" x14ac:dyDescent="0.25">
      <c r="A88" t="s">
        <v>23</v>
      </c>
      <c r="B88" t="s">
        <v>24</v>
      </c>
      <c r="C88" t="s">
        <v>25</v>
      </c>
      <c r="D88" t="s">
        <v>68</v>
      </c>
      <c r="E88">
        <v>7</v>
      </c>
      <c r="F88" t="s">
        <v>62</v>
      </c>
      <c r="G88" t="s">
        <v>28</v>
      </c>
      <c r="H88" t="s">
        <v>47</v>
      </c>
      <c r="I88" t="s">
        <v>48</v>
      </c>
      <c r="J88">
        <v>773</v>
      </c>
      <c r="K88">
        <v>830</v>
      </c>
      <c r="L88">
        <v>1325</v>
      </c>
      <c r="M88">
        <v>1807</v>
      </c>
      <c r="N88">
        <v>55</v>
      </c>
      <c r="O88">
        <v>482</v>
      </c>
      <c r="P88">
        <v>495</v>
      </c>
      <c r="Q88">
        <v>37</v>
      </c>
      <c r="R88">
        <v>21</v>
      </c>
      <c r="S88">
        <v>0</v>
      </c>
      <c r="T88">
        <v>752</v>
      </c>
      <c r="U88">
        <v>21</v>
      </c>
      <c r="V88">
        <v>21</v>
      </c>
      <c r="W88">
        <v>1</v>
      </c>
    </row>
    <row r="89" spans="1:23" x14ac:dyDescent="0.25">
      <c r="A89" t="s">
        <v>23</v>
      </c>
      <c r="B89" t="s">
        <v>24</v>
      </c>
      <c r="C89" t="s">
        <v>25</v>
      </c>
      <c r="D89" t="s">
        <v>68</v>
      </c>
      <c r="E89">
        <v>7</v>
      </c>
      <c r="F89" t="s">
        <v>62</v>
      </c>
      <c r="G89" t="s">
        <v>28</v>
      </c>
      <c r="H89" t="s">
        <v>50</v>
      </c>
      <c r="I89" t="s">
        <v>50</v>
      </c>
      <c r="J89">
        <v>3382</v>
      </c>
      <c r="K89">
        <v>3555</v>
      </c>
      <c r="L89">
        <v>5517</v>
      </c>
      <c r="M89">
        <v>5758</v>
      </c>
      <c r="N89">
        <v>58</v>
      </c>
      <c r="O89">
        <v>241</v>
      </c>
      <c r="P89">
        <v>1889</v>
      </c>
      <c r="Q89">
        <v>147</v>
      </c>
      <c r="R89">
        <v>26</v>
      </c>
      <c r="S89">
        <v>73</v>
      </c>
      <c r="T89">
        <v>3356</v>
      </c>
      <c r="U89">
        <v>26</v>
      </c>
      <c r="V89">
        <v>21</v>
      </c>
      <c r="W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A8" sqref="A8"/>
    </sheetView>
  </sheetViews>
  <sheetFormatPr defaultColWidth="11.42578125" defaultRowHeight="15" x14ac:dyDescent="0.25"/>
  <sheetData>
    <row r="1" spans="1:7" x14ac:dyDescent="0.25">
      <c r="A1" s="1" t="s">
        <v>0</v>
      </c>
      <c r="B1" t="s">
        <v>23</v>
      </c>
    </row>
    <row r="2" spans="1:7" x14ac:dyDescent="0.25">
      <c r="A2" s="1" t="s">
        <v>1</v>
      </c>
      <c r="B2" t="s">
        <v>104</v>
      </c>
    </row>
    <row r="3" spans="1:7" x14ac:dyDescent="0.25">
      <c r="A3" s="1" t="s">
        <v>81</v>
      </c>
      <c r="B3" s="2">
        <v>45924</v>
      </c>
    </row>
    <row r="4" spans="1:7" x14ac:dyDescent="0.25">
      <c r="A4" s="1" t="s">
        <v>2</v>
      </c>
      <c r="B4" t="s">
        <v>25</v>
      </c>
    </row>
    <row r="7" spans="1:7" ht="18.75" x14ac:dyDescent="0.3">
      <c r="A7" s="17" t="s">
        <v>109</v>
      </c>
    </row>
    <row r="8" spans="1:7" ht="59.25" x14ac:dyDescent="0.25">
      <c r="A8" s="1" t="s">
        <v>3</v>
      </c>
      <c r="B8" s="18" t="s">
        <v>105</v>
      </c>
      <c r="C8" s="18" t="s">
        <v>6</v>
      </c>
      <c r="D8" s="18" t="s">
        <v>5</v>
      </c>
      <c r="E8" s="19" t="s">
        <v>106</v>
      </c>
      <c r="F8" s="19" t="s">
        <v>107</v>
      </c>
      <c r="G8" s="19" t="s">
        <v>108</v>
      </c>
    </row>
    <row r="9" spans="1:7" ht="21.75" customHeight="1" x14ac:dyDescent="0.25">
      <c r="A9" s="3" t="s">
        <v>26</v>
      </c>
      <c r="B9" s="3">
        <v>7</v>
      </c>
      <c r="C9" s="3" t="s">
        <v>28</v>
      </c>
      <c r="D9" s="3" t="s">
        <v>27</v>
      </c>
      <c r="E9" s="3">
        <v>18</v>
      </c>
      <c r="F9" s="3">
        <v>18</v>
      </c>
      <c r="G9" s="3">
        <v>15</v>
      </c>
    </row>
    <row r="10" spans="1:7" ht="21.75" customHeight="1" x14ac:dyDescent="0.25">
      <c r="A10" s="3" t="s">
        <v>26</v>
      </c>
      <c r="B10" s="3">
        <v>7</v>
      </c>
      <c r="C10" s="3" t="s">
        <v>28</v>
      </c>
      <c r="D10" s="3" t="s">
        <v>62</v>
      </c>
      <c r="E10" s="3">
        <v>19</v>
      </c>
      <c r="F10" s="3">
        <v>18</v>
      </c>
      <c r="G10" s="3">
        <v>16</v>
      </c>
    </row>
    <row r="11" spans="1:7" ht="21.75" customHeight="1" x14ac:dyDescent="0.25">
      <c r="A11" s="3" t="s">
        <v>26</v>
      </c>
      <c r="B11" s="3">
        <v>7</v>
      </c>
      <c r="C11" s="3" t="s">
        <v>51</v>
      </c>
      <c r="D11" s="3" t="s">
        <v>27</v>
      </c>
      <c r="E11" s="3">
        <v>27</v>
      </c>
      <c r="F11" s="3">
        <v>26</v>
      </c>
      <c r="G11" s="3">
        <v>25</v>
      </c>
    </row>
    <row r="12" spans="1:7" ht="21.75" customHeight="1" x14ac:dyDescent="0.25">
      <c r="A12" s="3" t="s">
        <v>68</v>
      </c>
      <c r="B12" s="3">
        <v>7</v>
      </c>
      <c r="C12" s="3" t="s">
        <v>28</v>
      </c>
      <c r="D12" s="3" t="s">
        <v>62</v>
      </c>
      <c r="E12" s="3">
        <v>24</v>
      </c>
      <c r="F12" s="3">
        <v>24</v>
      </c>
      <c r="G12" s="3">
        <v>23</v>
      </c>
    </row>
    <row r="17" spans="1:7" ht="30" x14ac:dyDescent="0.25">
      <c r="A17" s="20" t="s">
        <v>3</v>
      </c>
      <c r="B17" s="23" t="s">
        <v>110</v>
      </c>
      <c r="C17" s="24" t="s">
        <v>6</v>
      </c>
      <c r="D17" s="24" t="s">
        <v>5</v>
      </c>
      <c r="E17" s="21" t="s">
        <v>72</v>
      </c>
      <c r="F17" s="21"/>
      <c r="G17" s="21"/>
    </row>
    <row r="18" spans="1:7" ht="32.25" customHeight="1" x14ac:dyDescent="0.25">
      <c r="A18" s="1" t="s">
        <v>26</v>
      </c>
      <c r="B18" s="3">
        <v>7</v>
      </c>
      <c r="C18" s="3" t="s">
        <v>28</v>
      </c>
      <c r="D18" s="3" t="s">
        <v>27</v>
      </c>
      <c r="E18" s="22" t="s">
        <v>73</v>
      </c>
      <c r="F18" s="22"/>
      <c r="G18" s="22"/>
    </row>
    <row r="19" spans="1:7" s="8" customFormat="1" ht="32.25" customHeight="1" x14ac:dyDescent="0.25">
      <c r="A19" s="9" t="s">
        <v>26</v>
      </c>
      <c r="B19" s="10">
        <v>7</v>
      </c>
      <c r="C19" s="10" t="s">
        <v>28</v>
      </c>
      <c r="D19" s="10" t="s">
        <v>62</v>
      </c>
      <c r="E19" s="22" t="s">
        <v>74</v>
      </c>
      <c r="F19" s="22"/>
      <c r="G19" s="22"/>
    </row>
    <row r="20" spans="1:7" ht="47.25" customHeight="1" x14ac:dyDescent="0.25">
      <c r="A20" s="1" t="s">
        <v>26</v>
      </c>
      <c r="B20" s="3">
        <v>7</v>
      </c>
      <c r="C20" s="3" t="s">
        <v>51</v>
      </c>
      <c r="D20" s="3" t="s">
        <v>27</v>
      </c>
      <c r="E20" s="22" t="s">
        <v>75</v>
      </c>
      <c r="F20" s="22"/>
      <c r="G20" s="22"/>
    </row>
    <row r="21" spans="1:7" ht="41.25" customHeight="1" x14ac:dyDescent="0.25">
      <c r="A21" s="1" t="s">
        <v>68</v>
      </c>
      <c r="B21" s="3">
        <v>7</v>
      </c>
      <c r="C21" s="3" t="s">
        <v>28</v>
      </c>
      <c r="D21" s="3" t="s">
        <v>62</v>
      </c>
      <c r="E21" s="22" t="s">
        <v>76</v>
      </c>
      <c r="F21" s="22"/>
      <c r="G21" s="22"/>
    </row>
  </sheetData>
  <mergeCells count="5">
    <mergeCell ref="E18:G18"/>
    <mergeCell ref="E19:G19"/>
    <mergeCell ref="E20:G20"/>
    <mergeCell ref="E21:G21"/>
    <mergeCell ref="E17:G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5"/>
    </sheetView>
  </sheetViews>
  <sheetFormatPr defaultColWidth="11.42578125" defaultRowHeight="15" x14ac:dyDescent="0.25"/>
  <sheetData>
    <row r="1" spans="1:5" x14ac:dyDescent="0.25">
      <c r="A1" t="s">
        <v>3</v>
      </c>
      <c r="B1" t="s">
        <v>4</v>
      </c>
      <c r="C1" t="s">
        <v>6</v>
      </c>
      <c r="D1" t="s">
        <v>5</v>
      </c>
      <c r="E1" t="s">
        <v>72</v>
      </c>
    </row>
    <row r="2" spans="1:5" x14ac:dyDescent="0.25">
      <c r="A2" t="s">
        <v>26</v>
      </c>
      <c r="B2">
        <v>7</v>
      </c>
      <c r="C2" t="s">
        <v>28</v>
      </c>
      <c r="D2" t="s">
        <v>27</v>
      </c>
      <c r="E2" t="s">
        <v>73</v>
      </c>
    </row>
    <row r="3" spans="1:5" x14ac:dyDescent="0.25">
      <c r="A3" t="s">
        <v>26</v>
      </c>
      <c r="B3">
        <v>7</v>
      </c>
      <c r="C3" t="s">
        <v>28</v>
      </c>
      <c r="D3" t="s">
        <v>62</v>
      </c>
      <c r="E3" t="s">
        <v>74</v>
      </c>
    </row>
    <row r="4" spans="1:5" x14ac:dyDescent="0.25">
      <c r="A4" t="s">
        <v>26</v>
      </c>
      <c r="B4">
        <v>7</v>
      </c>
      <c r="C4" t="s">
        <v>51</v>
      </c>
      <c r="D4" t="s">
        <v>27</v>
      </c>
      <c r="E4" t="s">
        <v>75</v>
      </c>
    </row>
    <row r="5" spans="1:5" x14ac:dyDescent="0.25">
      <c r="A5" t="s">
        <v>68</v>
      </c>
      <c r="B5">
        <v>7</v>
      </c>
      <c r="C5" t="s">
        <v>28</v>
      </c>
      <c r="D5" t="s">
        <v>62</v>
      </c>
      <c r="E5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topLeftCell="A10" workbookViewId="0">
      <selection activeCell="C33" sqref="C33"/>
    </sheetView>
  </sheetViews>
  <sheetFormatPr defaultColWidth="11.42578125" defaultRowHeight="15" x14ac:dyDescent="0.25"/>
  <cols>
    <col min="2" max="2" width="9.140625" customWidth="1"/>
    <col min="4" max="4" width="5.42578125" style="5" customWidth="1"/>
    <col min="5" max="5" width="11.42578125" style="5"/>
    <col min="6" max="10" width="7.7109375" style="5" customWidth="1"/>
    <col min="11" max="12" width="0" hidden="1" customWidth="1"/>
  </cols>
  <sheetData>
    <row r="1" spans="1:12" x14ac:dyDescent="0.25">
      <c r="A1" s="1" t="s">
        <v>0</v>
      </c>
      <c r="B1" t="s">
        <v>23</v>
      </c>
    </row>
    <row r="2" spans="1:12" x14ac:dyDescent="0.25">
      <c r="A2" s="1" t="s">
        <v>1</v>
      </c>
      <c r="B2" t="s">
        <v>80</v>
      </c>
    </row>
    <row r="3" spans="1:12" x14ac:dyDescent="0.25">
      <c r="A3" s="1" t="s">
        <v>81</v>
      </c>
      <c r="B3" s="27">
        <v>45924</v>
      </c>
      <c r="C3" s="28"/>
    </row>
    <row r="4" spans="1:12" x14ac:dyDescent="0.25">
      <c r="A4" s="1" t="s">
        <v>2</v>
      </c>
      <c r="B4" t="s">
        <v>25</v>
      </c>
    </row>
    <row r="5" spans="1:12" x14ac:dyDescent="0.25">
      <c r="A5" s="7"/>
    </row>
    <row r="6" spans="1:12" ht="18.75" x14ac:dyDescent="0.3">
      <c r="A6" s="17" t="s">
        <v>111</v>
      </c>
    </row>
    <row r="7" spans="1:12" s="8" customFormat="1" ht="89.25" customHeight="1" x14ac:dyDescent="0.25">
      <c r="A7" s="9" t="s">
        <v>3</v>
      </c>
      <c r="B7" s="9" t="s">
        <v>6</v>
      </c>
      <c r="C7" s="9" t="s">
        <v>5</v>
      </c>
      <c r="D7" s="11" t="s">
        <v>105</v>
      </c>
      <c r="E7" s="10" t="s">
        <v>8</v>
      </c>
      <c r="F7" s="11" t="s">
        <v>21</v>
      </c>
      <c r="G7" s="10" t="s">
        <v>77</v>
      </c>
      <c r="H7" s="11" t="s">
        <v>98</v>
      </c>
      <c r="I7" s="11" t="s">
        <v>99</v>
      </c>
      <c r="J7" s="11" t="s">
        <v>100</v>
      </c>
      <c r="K7" s="8" t="s">
        <v>78</v>
      </c>
      <c r="L7" s="8" t="s">
        <v>79</v>
      </c>
    </row>
    <row r="8" spans="1:12" x14ac:dyDescent="0.25">
      <c r="A8" s="1" t="s">
        <v>26</v>
      </c>
      <c r="B8" s="12" t="s">
        <v>28</v>
      </c>
      <c r="C8" s="12" t="s">
        <v>27</v>
      </c>
      <c r="D8" s="3">
        <v>7</v>
      </c>
      <c r="E8" s="3" t="s">
        <v>30</v>
      </c>
      <c r="F8" s="3">
        <v>16</v>
      </c>
      <c r="G8" s="3">
        <v>16</v>
      </c>
      <c r="H8" s="3">
        <v>100</v>
      </c>
      <c r="I8" s="3">
        <v>100</v>
      </c>
      <c r="J8" s="16">
        <v>68.8</v>
      </c>
      <c r="K8">
        <v>16</v>
      </c>
      <c r="L8">
        <v>11</v>
      </c>
    </row>
    <row r="9" spans="1:12" x14ac:dyDescent="0.25">
      <c r="A9" s="1" t="s">
        <v>102</v>
      </c>
      <c r="B9" s="12" t="s">
        <v>28</v>
      </c>
      <c r="C9" s="12" t="s">
        <v>27</v>
      </c>
      <c r="D9" s="3">
        <v>7</v>
      </c>
      <c r="E9" s="3" t="s">
        <v>37</v>
      </c>
      <c r="F9" s="3">
        <v>16</v>
      </c>
      <c r="G9" s="3">
        <v>13</v>
      </c>
      <c r="H9" s="3">
        <v>81.2</v>
      </c>
      <c r="I9" s="3">
        <v>81.2</v>
      </c>
      <c r="J9" s="3">
        <v>37.5</v>
      </c>
      <c r="K9">
        <v>13</v>
      </c>
      <c r="L9">
        <v>6</v>
      </c>
    </row>
    <row r="10" spans="1:12" x14ac:dyDescent="0.25">
      <c r="A10" s="1"/>
      <c r="B10" s="12" t="s">
        <v>28</v>
      </c>
      <c r="C10" s="12" t="s">
        <v>27</v>
      </c>
      <c r="D10" s="3">
        <v>7</v>
      </c>
      <c r="E10" s="3" t="s">
        <v>43</v>
      </c>
      <c r="F10" s="3">
        <v>16</v>
      </c>
      <c r="G10" s="3">
        <v>14</v>
      </c>
      <c r="H10" s="3">
        <v>87.5</v>
      </c>
      <c r="I10" s="3">
        <v>87.5</v>
      </c>
      <c r="J10" s="3">
        <v>75</v>
      </c>
      <c r="K10">
        <v>14</v>
      </c>
      <c r="L10">
        <v>12</v>
      </c>
    </row>
    <row r="11" spans="1:12" x14ac:dyDescent="0.25">
      <c r="A11" s="1"/>
      <c r="B11" s="12" t="s">
        <v>28</v>
      </c>
      <c r="C11" s="12" t="s">
        <v>27</v>
      </c>
      <c r="D11" s="3">
        <v>7</v>
      </c>
      <c r="E11" s="3" t="s">
        <v>48</v>
      </c>
      <c r="F11" s="3">
        <v>16</v>
      </c>
      <c r="G11" s="3">
        <v>8</v>
      </c>
      <c r="H11" s="3">
        <v>50</v>
      </c>
      <c r="I11" s="3">
        <v>50</v>
      </c>
      <c r="J11" s="3">
        <v>43.8</v>
      </c>
      <c r="K11">
        <v>8</v>
      </c>
      <c r="L11">
        <v>7</v>
      </c>
    </row>
    <row r="12" spans="1:12" x14ac:dyDescent="0.25">
      <c r="A12" s="1"/>
      <c r="B12" s="12" t="s">
        <v>28</v>
      </c>
      <c r="C12" s="12" t="s">
        <v>27</v>
      </c>
      <c r="D12" s="3">
        <v>7</v>
      </c>
      <c r="E12" s="3" t="s">
        <v>50</v>
      </c>
      <c r="F12" s="3">
        <v>16</v>
      </c>
      <c r="G12" s="3">
        <v>16</v>
      </c>
      <c r="H12" s="3">
        <v>100</v>
      </c>
      <c r="I12" s="3">
        <v>100</v>
      </c>
      <c r="J12" s="3">
        <v>93.8</v>
      </c>
      <c r="K12">
        <v>16</v>
      </c>
      <c r="L12">
        <v>15</v>
      </c>
    </row>
    <row r="13" spans="1:12" s="14" customFormat="1" x14ac:dyDescent="0.25">
      <c r="A13" s="13"/>
      <c r="B13" s="13"/>
      <c r="C13" s="13"/>
      <c r="D13" s="15"/>
      <c r="E13" s="15"/>
      <c r="F13" s="15"/>
      <c r="G13" s="15"/>
      <c r="H13" s="15"/>
      <c r="I13" s="15"/>
      <c r="J13" s="15"/>
    </row>
    <row r="14" spans="1:12" x14ac:dyDescent="0.25">
      <c r="A14" s="1" t="s">
        <v>26</v>
      </c>
      <c r="B14" s="12" t="s">
        <v>28</v>
      </c>
      <c r="C14" s="1" t="s">
        <v>62</v>
      </c>
      <c r="D14" s="3">
        <v>7</v>
      </c>
      <c r="E14" s="3" t="s">
        <v>30</v>
      </c>
      <c r="F14" s="3">
        <v>14</v>
      </c>
      <c r="G14" s="3">
        <v>14</v>
      </c>
      <c r="H14" s="3">
        <v>100</v>
      </c>
      <c r="I14" s="3">
        <v>100</v>
      </c>
      <c r="J14" s="16">
        <v>100</v>
      </c>
      <c r="K14">
        <v>14</v>
      </c>
      <c r="L14">
        <v>14</v>
      </c>
    </row>
    <row r="15" spans="1:12" x14ac:dyDescent="0.25">
      <c r="A15" s="1" t="s">
        <v>101</v>
      </c>
      <c r="B15" s="12" t="s">
        <v>28</v>
      </c>
      <c r="C15" s="1" t="s">
        <v>62</v>
      </c>
      <c r="D15" s="3">
        <v>7</v>
      </c>
      <c r="E15" s="3" t="s">
        <v>37</v>
      </c>
      <c r="F15" s="3">
        <v>14</v>
      </c>
      <c r="G15" s="3">
        <v>14</v>
      </c>
      <c r="H15" s="3">
        <v>100</v>
      </c>
      <c r="I15" s="3">
        <v>100</v>
      </c>
      <c r="J15" s="3">
        <v>92.9</v>
      </c>
      <c r="K15">
        <v>14</v>
      </c>
      <c r="L15">
        <v>13</v>
      </c>
    </row>
    <row r="16" spans="1:12" x14ac:dyDescent="0.25">
      <c r="A16" s="1"/>
      <c r="B16" s="12" t="s">
        <v>28</v>
      </c>
      <c r="C16" s="1" t="s">
        <v>62</v>
      </c>
      <c r="D16" s="3">
        <v>7</v>
      </c>
      <c r="E16" s="3" t="s">
        <v>43</v>
      </c>
      <c r="F16" s="3">
        <v>14</v>
      </c>
      <c r="G16" s="3">
        <v>12</v>
      </c>
      <c r="H16" s="3">
        <v>85.7</v>
      </c>
      <c r="I16" s="3">
        <v>85.7</v>
      </c>
      <c r="J16" s="3">
        <v>85.7</v>
      </c>
      <c r="K16">
        <v>12</v>
      </c>
      <c r="L16">
        <v>12</v>
      </c>
    </row>
    <row r="17" spans="1:12" x14ac:dyDescent="0.25">
      <c r="A17" s="1"/>
      <c r="B17" s="12" t="s">
        <v>28</v>
      </c>
      <c r="C17" s="1" t="s">
        <v>62</v>
      </c>
      <c r="D17" s="3">
        <v>7</v>
      </c>
      <c r="E17" s="3" t="s">
        <v>48</v>
      </c>
      <c r="F17" s="3">
        <v>14</v>
      </c>
      <c r="G17" s="3">
        <v>9</v>
      </c>
      <c r="H17" s="3">
        <v>64.3</v>
      </c>
      <c r="I17" s="3">
        <v>57.1</v>
      </c>
      <c r="J17" s="3">
        <v>21.4</v>
      </c>
      <c r="K17">
        <v>8</v>
      </c>
      <c r="L17">
        <v>3</v>
      </c>
    </row>
    <row r="18" spans="1:12" x14ac:dyDescent="0.25">
      <c r="A18" s="1"/>
      <c r="B18" s="12" t="s">
        <v>28</v>
      </c>
      <c r="C18" s="1" t="s">
        <v>62</v>
      </c>
      <c r="D18" s="3">
        <v>7</v>
      </c>
      <c r="E18" s="3" t="s">
        <v>50</v>
      </c>
      <c r="F18" s="3">
        <v>14</v>
      </c>
      <c r="G18" s="3">
        <v>6</v>
      </c>
      <c r="H18" s="3">
        <v>42.9</v>
      </c>
      <c r="I18" s="3">
        <v>42.9</v>
      </c>
      <c r="J18" s="3">
        <v>35.700000000000003</v>
      </c>
      <c r="K18">
        <v>6</v>
      </c>
      <c r="L18">
        <v>5</v>
      </c>
    </row>
    <row r="19" spans="1:12" x14ac:dyDescent="0.25">
      <c r="A19" s="1"/>
      <c r="B19" s="13"/>
      <c r="C19" s="1"/>
      <c r="D19" s="3"/>
      <c r="E19" s="3"/>
      <c r="F19" s="3"/>
      <c r="G19" s="3"/>
      <c r="H19" s="3"/>
      <c r="I19" s="3"/>
      <c r="J19" s="3"/>
    </row>
    <row r="20" spans="1:12" x14ac:dyDescent="0.25">
      <c r="A20" s="1" t="s">
        <v>26</v>
      </c>
      <c r="B20" s="1" t="s">
        <v>51</v>
      </c>
      <c r="C20" s="12" t="s">
        <v>27</v>
      </c>
      <c r="D20" s="3">
        <v>7</v>
      </c>
      <c r="E20" s="3" t="s">
        <v>30</v>
      </c>
      <c r="F20" s="3">
        <v>77</v>
      </c>
      <c r="G20" s="3">
        <v>73</v>
      </c>
      <c r="H20" s="3">
        <v>94.8</v>
      </c>
      <c r="I20" s="3">
        <v>93.5</v>
      </c>
      <c r="J20" s="16">
        <v>85.7</v>
      </c>
      <c r="K20">
        <v>72</v>
      </c>
      <c r="L20">
        <v>66</v>
      </c>
    </row>
    <row r="21" spans="1:12" x14ac:dyDescent="0.25">
      <c r="A21" s="1" t="s">
        <v>102</v>
      </c>
      <c r="B21" s="1" t="s">
        <v>51</v>
      </c>
      <c r="C21" s="12" t="s">
        <v>27</v>
      </c>
      <c r="D21" s="3">
        <v>7</v>
      </c>
      <c r="E21" s="3" t="s">
        <v>37</v>
      </c>
      <c r="F21" s="3">
        <v>77</v>
      </c>
      <c r="G21" s="3">
        <v>76</v>
      </c>
      <c r="H21" s="3">
        <v>98.7</v>
      </c>
      <c r="I21" s="3">
        <v>98.7</v>
      </c>
      <c r="J21" s="3">
        <v>97.4</v>
      </c>
      <c r="K21">
        <v>76</v>
      </c>
      <c r="L21">
        <v>75</v>
      </c>
    </row>
    <row r="22" spans="1:12" x14ac:dyDescent="0.25">
      <c r="A22" s="1"/>
      <c r="B22" s="1" t="s">
        <v>51</v>
      </c>
      <c r="C22" s="12" t="s">
        <v>27</v>
      </c>
      <c r="D22" s="3">
        <v>7</v>
      </c>
      <c r="E22" s="3" t="s">
        <v>43</v>
      </c>
      <c r="F22" s="3">
        <v>77</v>
      </c>
      <c r="G22" s="3">
        <v>70</v>
      </c>
      <c r="H22" s="3">
        <v>90.9</v>
      </c>
      <c r="I22" s="3">
        <v>90.9</v>
      </c>
      <c r="J22" s="3">
        <v>88.3</v>
      </c>
      <c r="K22">
        <v>70</v>
      </c>
      <c r="L22">
        <v>68</v>
      </c>
    </row>
    <row r="23" spans="1:12" x14ac:dyDescent="0.25">
      <c r="A23" s="1"/>
      <c r="B23" s="1" t="s">
        <v>51</v>
      </c>
      <c r="C23" s="12" t="s">
        <v>27</v>
      </c>
      <c r="D23" s="3">
        <v>7</v>
      </c>
      <c r="E23" s="3" t="s">
        <v>48</v>
      </c>
      <c r="F23" s="3">
        <v>77</v>
      </c>
      <c r="G23" s="3">
        <v>6</v>
      </c>
      <c r="H23" s="3">
        <v>7.8</v>
      </c>
      <c r="I23" s="3">
        <v>7.8</v>
      </c>
      <c r="J23" s="3">
        <v>6.5</v>
      </c>
      <c r="K23">
        <v>6</v>
      </c>
      <c r="L23">
        <v>5</v>
      </c>
    </row>
    <row r="24" spans="1:12" x14ac:dyDescent="0.25">
      <c r="A24" s="1"/>
      <c r="B24" s="1" t="s">
        <v>51</v>
      </c>
      <c r="C24" s="12" t="s">
        <v>27</v>
      </c>
      <c r="D24" s="3">
        <v>7</v>
      </c>
      <c r="E24" s="3" t="s">
        <v>50</v>
      </c>
      <c r="F24" s="3">
        <v>77</v>
      </c>
      <c r="G24" s="3">
        <v>51</v>
      </c>
      <c r="H24" s="3">
        <v>66.2</v>
      </c>
      <c r="I24" s="3">
        <v>66.2</v>
      </c>
      <c r="J24" s="3">
        <v>64.900000000000006</v>
      </c>
      <c r="K24">
        <v>51</v>
      </c>
      <c r="L24">
        <v>50</v>
      </c>
    </row>
    <row r="25" spans="1:12" x14ac:dyDescent="0.25">
      <c r="A25" s="1"/>
      <c r="B25" s="1"/>
      <c r="C25" s="13"/>
      <c r="D25" s="3"/>
      <c r="E25" s="3"/>
      <c r="F25" s="3"/>
      <c r="G25" s="3"/>
      <c r="H25" s="3"/>
      <c r="I25" s="3"/>
      <c r="J25" s="3"/>
    </row>
    <row r="26" spans="1:12" x14ac:dyDescent="0.25">
      <c r="A26" s="1" t="s">
        <v>68</v>
      </c>
      <c r="B26" s="1" t="s">
        <v>28</v>
      </c>
      <c r="C26" s="1" t="s">
        <v>62</v>
      </c>
      <c r="D26" s="3">
        <v>7</v>
      </c>
      <c r="E26" s="3" t="s">
        <v>30</v>
      </c>
      <c r="F26" s="3">
        <v>21</v>
      </c>
      <c r="G26" s="3">
        <v>20</v>
      </c>
      <c r="H26" s="3">
        <v>95.2</v>
      </c>
      <c r="I26" s="3">
        <v>95.2</v>
      </c>
      <c r="J26" s="16">
        <v>71.400000000000006</v>
      </c>
      <c r="K26">
        <v>20</v>
      </c>
      <c r="L26">
        <v>15</v>
      </c>
    </row>
    <row r="27" spans="1:12" x14ac:dyDescent="0.25">
      <c r="A27" s="1" t="s">
        <v>103</v>
      </c>
      <c r="B27" s="1" t="s">
        <v>28</v>
      </c>
      <c r="C27" s="1" t="s">
        <v>62</v>
      </c>
      <c r="D27" s="3">
        <v>7</v>
      </c>
      <c r="E27" s="3" t="s">
        <v>37</v>
      </c>
      <c r="F27" s="3">
        <v>21</v>
      </c>
      <c r="G27" s="3">
        <v>21</v>
      </c>
      <c r="H27" s="3">
        <v>100</v>
      </c>
      <c r="I27" s="3">
        <v>95.2</v>
      </c>
      <c r="J27" s="3">
        <v>95.2</v>
      </c>
      <c r="K27">
        <v>20</v>
      </c>
      <c r="L27">
        <v>20</v>
      </c>
    </row>
    <row r="28" spans="1:12" x14ac:dyDescent="0.25">
      <c r="A28" s="1"/>
      <c r="B28" s="1" t="s">
        <v>28</v>
      </c>
      <c r="C28" s="1" t="s">
        <v>62</v>
      </c>
      <c r="D28" s="3">
        <v>7</v>
      </c>
      <c r="E28" s="3" t="s">
        <v>43</v>
      </c>
      <c r="F28" s="3">
        <v>21</v>
      </c>
      <c r="G28" s="3">
        <v>21</v>
      </c>
      <c r="H28" s="3">
        <v>100</v>
      </c>
      <c r="I28" s="3">
        <v>100</v>
      </c>
      <c r="J28" s="3">
        <v>95.2</v>
      </c>
      <c r="K28">
        <v>21</v>
      </c>
      <c r="L28">
        <v>20</v>
      </c>
    </row>
    <row r="29" spans="1:12" x14ac:dyDescent="0.25">
      <c r="A29" s="1"/>
      <c r="B29" s="1" t="s">
        <v>28</v>
      </c>
      <c r="C29" s="1" t="s">
        <v>62</v>
      </c>
      <c r="D29" s="3">
        <v>7</v>
      </c>
      <c r="E29" s="3" t="s">
        <v>48</v>
      </c>
      <c r="F29" s="3">
        <v>21</v>
      </c>
      <c r="G29" s="3">
        <v>6</v>
      </c>
      <c r="H29" s="3">
        <v>28.6</v>
      </c>
      <c r="I29" s="3">
        <v>23.8</v>
      </c>
      <c r="J29" s="3">
        <v>19</v>
      </c>
      <c r="K29">
        <v>5</v>
      </c>
      <c r="L29">
        <v>4</v>
      </c>
    </row>
    <row r="30" spans="1:12" x14ac:dyDescent="0.25">
      <c r="A30" s="1"/>
      <c r="B30" s="1" t="s">
        <v>28</v>
      </c>
      <c r="C30" s="1" t="s">
        <v>62</v>
      </c>
      <c r="D30" s="3">
        <v>7</v>
      </c>
      <c r="E30" s="3" t="s">
        <v>50</v>
      </c>
      <c r="F30" s="3">
        <v>21</v>
      </c>
      <c r="G30" s="3">
        <v>21</v>
      </c>
      <c r="H30" s="3">
        <v>100</v>
      </c>
      <c r="I30" s="3">
        <v>95.2</v>
      </c>
      <c r="J30" s="3">
        <v>81</v>
      </c>
      <c r="K30">
        <v>20</v>
      </c>
      <c r="L30">
        <v>17</v>
      </c>
    </row>
  </sheetData>
  <mergeCells count="1"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tabSelected="1" topLeftCell="A4" workbookViewId="0">
      <selection activeCell="H18" sqref="H18"/>
    </sheetView>
  </sheetViews>
  <sheetFormatPr defaultColWidth="11.42578125" defaultRowHeight="15" x14ac:dyDescent="0.25"/>
  <cols>
    <col min="4" max="7" width="8.140625" style="5" customWidth="1"/>
    <col min="8" max="8" width="9.140625" style="5" customWidth="1"/>
    <col min="9" max="20" width="11.42578125" hidden="1" customWidth="1"/>
  </cols>
  <sheetData>
    <row r="1" spans="1:20" x14ac:dyDescent="0.25">
      <c r="A1" s="1" t="s">
        <v>0</v>
      </c>
      <c r="B1" t="s">
        <v>23</v>
      </c>
    </row>
    <row r="2" spans="1:20" x14ac:dyDescent="0.25">
      <c r="A2" s="1" t="s">
        <v>1</v>
      </c>
      <c r="B2" t="s">
        <v>85</v>
      </c>
    </row>
    <row r="3" spans="1:20" x14ac:dyDescent="0.25">
      <c r="A3" s="1" t="s">
        <v>81</v>
      </c>
      <c r="B3" s="2">
        <v>45924</v>
      </c>
    </row>
    <row r="4" spans="1:20" x14ac:dyDescent="0.25">
      <c r="A4" s="1" t="s">
        <v>2</v>
      </c>
      <c r="B4" t="s">
        <v>25</v>
      </c>
    </row>
    <row r="8" spans="1:20" ht="18.75" x14ac:dyDescent="0.3">
      <c r="A8" s="6" t="s">
        <v>97</v>
      </c>
    </row>
    <row r="9" spans="1:20" ht="147" x14ac:dyDescent="0.25">
      <c r="A9" s="1" t="s">
        <v>90</v>
      </c>
      <c r="B9" s="1"/>
      <c r="C9" s="1"/>
      <c r="D9" s="3" t="s">
        <v>8</v>
      </c>
      <c r="E9" s="4" t="s">
        <v>21</v>
      </c>
      <c r="F9" s="4" t="s">
        <v>86</v>
      </c>
      <c r="G9" s="4" t="s">
        <v>87</v>
      </c>
      <c r="H9" s="4" t="s">
        <v>88</v>
      </c>
      <c r="I9" s="4" t="s">
        <v>89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22</v>
      </c>
      <c r="S9" t="s">
        <v>82</v>
      </c>
      <c r="T9" t="s">
        <v>83</v>
      </c>
    </row>
    <row r="10" spans="1:20" x14ac:dyDescent="0.25">
      <c r="A10" s="1" t="s">
        <v>91</v>
      </c>
      <c r="B10" s="1" t="s">
        <v>28</v>
      </c>
      <c r="C10" s="1" t="s">
        <v>27</v>
      </c>
      <c r="D10" s="25" t="s">
        <v>30</v>
      </c>
      <c r="E10" s="3">
        <v>16</v>
      </c>
      <c r="F10" s="3">
        <v>8308</v>
      </c>
      <c r="G10" s="3">
        <v>5902</v>
      </c>
      <c r="H10" s="26">
        <v>2388</v>
      </c>
      <c r="I10" s="3">
        <v>5089</v>
      </c>
      <c r="J10">
        <v>220</v>
      </c>
      <c r="K10">
        <v>253</v>
      </c>
      <c r="L10">
        <v>674</v>
      </c>
      <c r="M10">
        <v>24</v>
      </c>
      <c r="N10">
        <v>58</v>
      </c>
      <c r="O10">
        <v>3587</v>
      </c>
      <c r="P10">
        <v>5031</v>
      </c>
      <c r="Q10">
        <v>58</v>
      </c>
      <c r="R10">
        <v>1</v>
      </c>
      <c r="S10">
        <v>1</v>
      </c>
    </row>
    <row r="11" spans="1:20" x14ac:dyDescent="0.25">
      <c r="A11" s="1" t="s">
        <v>95</v>
      </c>
      <c r="B11" s="1" t="s">
        <v>28</v>
      </c>
      <c r="C11" s="1" t="s">
        <v>27</v>
      </c>
      <c r="D11" s="20" t="s">
        <v>37</v>
      </c>
      <c r="E11" s="3">
        <v>16</v>
      </c>
      <c r="F11" s="3">
        <v>2066</v>
      </c>
      <c r="G11" s="3">
        <v>1939</v>
      </c>
      <c r="H11" s="24">
        <v>495</v>
      </c>
      <c r="I11" s="3">
        <v>1447</v>
      </c>
      <c r="J11">
        <v>677</v>
      </c>
      <c r="K11">
        <v>0</v>
      </c>
      <c r="L11">
        <v>650</v>
      </c>
      <c r="M11">
        <v>0</v>
      </c>
      <c r="N11">
        <v>27</v>
      </c>
      <c r="O11">
        <v>2191</v>
      </c>
      <c r="P11">
        <v>1420</v>
      </c>
      <c r="Q11">
        <v>27</v>
      </c>
      <c r="R11">
        <v>3</v>
      </c>
      <c r="S11">
        <v>2</v>
      </c>
    </row>
    <row r="12" spans="1:20" x14ac:dyDescent="0.25">
      <c r="A12" s="1"/>
      <c r="B12" s="1" t="s">
        <v>28</v>
      </c>
      <c r="C12" s="1" t="s">
        <v>27</v>
      </c>
      <c r="D12" s="1" t="s">
        <v>43</v>
      </c>
      <c r="E12" s="3">
        <v>16</v>
      </c>
      <c r="F12" s="3">
        <v>5300</v>
      </c>
      <c r="G12" s="3">
        <v>5300</v>
      </c>
      <c r="H12" s="3">
        <v>2146</v>
      </c>
      <c r="I12" s="3">
        <v>1571</v>
      </c>
      <c r="J12">
        <v>243</v>
      </c>
      <c r="K12">
        <v>1013</v>
      </c>
      <c r="L12">
        <v>265</v>
      </c>
      <c r="M12">
        <v>0</v>
      </c>
      <c r="N12">
        <v>271</v>
      </c>
      <c r="O12">
        <v>602</v>
      </c>
      <c r="P12">
        <v>1300</v>
      </c>
      <c r="Q12">
        <v>271</v>
      </c>
      <c r="R12">
        <v>3</v>
      </c>
      <c r="S12">
        <v>3</v>
      </c>
    </row>
    <row r="13" spans="1:20" x14ac:dyDescent="0.25">
      <c r="A13" s="1"/>
      <c r="B13" s="1" t="s">
        <v>28</v>
      </c>
      <c r="C13" s="1" t="s">
        <v>27</v>
      </c>
      <c r="D13" s="1" t="s">
        <v>48</v>
      </c>
      <c r="E13" s="3">
        <v>16</v>
      </c>
      <c r="F13" s="3">
        <v>1337</v>
      </c>
      <c r="G13" s="3">
        <v>1337</v>
      </c>
      <c r="H13" s="3">
        <v>952</v>
      </c>
      <c r="I13" s="3">
        <v>904</v>
      </c>
      <c r="J13">
        <v>196</v>
      </c>
      <c r="K13">
        <v>0</v>
      </c>
      <c r="L13">
        <v>48</v>
      </c>
      <c r="M13">
        <v>0</v>
      </c>
      <c r="N13">
        <v>14</v>
      </c>
      <c r="O13">
        <v>337</v>
      </c>
      <c r="P13">
        <v>891</v>
      </c>
      <c r="Q13">
        <v>14</v>
      </c>
      <c r="R13">
        <v>1</v>
      </c>
      <c r="S13">
        <v>4</v>
      </c>
    </row>
    <row r="14" spans="1:20" x14ac:dyDescent="0.25">
      <c r="A14" s="1"/>
      <c r="B14" s="1" t="s">
        <v>28</v>
      </c>
      <c r="C14" s="1" t="s">
        <v>27</v>
      </c>
      <c r="D14" s="1" t="s">
        <v>50</v>
      </c>
      <c r="E14" s="3">
        <v>16</v>
      </c>
      <c r="F14" s="3">
        <v>9684</v>
      </c>
      <c r="G14" s="3">
        <v>9431</v>
      </c>
      <c r="H14" s="3">
        <v>5170</v>
      </c>
      <c r="I14" s="3">
        <v>241</v>
      </c>
      <c r="J14">
        <v>48</v>
      </c>
      <c r="K14">
        <v>253</v>
      </c>
      <c r="L14">
        <v>530</v>
      </c>
      <c r="M14">
        <v>0</v>
      </c>
      <c r="N14">
        <v>0</v>
      </c>
      <c r="O14">
        <v>530</v>
      </c>
      <c r="P14">
        <v>241</v>
      </c>
      <c r="Q14">
        <v>0</v>
      </c>
      <c r="R14">
        <v>0</v>
      </c>
      <c r="S14">
        <v>5</v>
      </c>
    </row>
    <row r="15" spans="1:20" x14ac:dyDescent="0.25">
      <c r="A15" s="1"/>
      <c r="B15" s="1" t="s">
        <v>28</v>
      </c>
      <c r="C15" s="1" t="s">
        <v>27</v>
      </c>
      <c r="D15" s="1" t="s">
        <v>84</v>
      </c>
      <c r="E15" s="3"/>
      <c r="F15" s="3">
        <f>SUM(F10:F14)</f>
        <v>26695</v>
      </c>
      <c r="G15" s="3">
        <f t="shared" ref="G15:H15" si="0">SUM(G10:G14)</f>
        <v>23909</v>
      </c>
      <c r="H15" s="3">
        <f t="shared" si="0"/>
        <v>11151</v>
      </c>
      <c r="I15" s="3">
        <v>10359</v>
      </c>
      <c r="J15">
        <v>1575</v>
      </c>
      <c r="K15">
        <v>1899</v>
      </c>
      <c r="L15">
        <v>2744</v>
      </c>
      <c r="M15">
        <v>24</v>
      </c>
      <c r="N15">
        <v>465</v>
      </c>
      <c r="O15">
        <v>8474</v>
      </c>
      <c r="P15">
        <v>9894</v>
      </c>
      <c r="Q15">
        <v>465</v>
      </c>
      <c r="R15">
        <v>8</v>
      </c>
      <c r="S15">
        <v>7</v>
      </c>
    </row>
    <row r="16" spans="1:20" x14ac:dyDescent="0.25">
      <c r="A16" s="1"/>
      <c r="B16" s="1"/>
      <c r="C16" s="1"/>
      <c r="D16" s="1"/>
      <c r="E16" s="3"/>
      <c r="F16" s="3"/>
      <c r="G16" s="3"/>
      <c r="H16" s="3"/>
      <c r="I16" s="3"/>
      <c r="S16">
        <v>8</v>
      </c>
    </row>
    <row r="17" spans="1:19" x14ac:dyDescent="0.25">
      <c r="A17" s="1" t="s">
        <v>91</v>
      </c>
      <c r="B17" s="1" t="s">
        <v>28</v>
      </c>
      <c r="C17" s="1" t="s">
        <v>62</v>
      </c>
      <c r="D17" s="25" t="s">
        <v>30</v>
      </c>
      <c r="E17" s="3">
        <v>14</v>
      </c>
      <c r="F17" s="3">
        <v>13760</v>
      </c>
      <c r="G17" s="3">
        <v>3343</v>
      </c>
      <c r="H17" s="26">
        <v>757</v>
      </c>
      <c r="I17" s="3">
        <v>392</v>
      </c>
      <c r="J17">
        <v>59</v>
      </c>
      <c r="K17">
        <v>10418</v>
      </c>
      <c r="L17">
        <v>2448</v>
      </c>
      <c r="M17">
        <v>303</v>
      </c>
      <c r="N17">
        <v>62</v>
      </c>
      <c r="O17">
        <v>138</v>
      </c>
      <c r="P17">
        <v>330</v>
      </c>
      <c r="Q17">
        <v>62</v>
      </c>
      <c r="R17">
        <v>1</v>
      </c>
      <c r="S17">
        <v>1</v>
      </c>
    </row>
    <row r="18" spans="1:19" x14ac:dyDescent="0.25">
      <c r="A18" s="1" t="s">
        <v>94</v>
      </c>
      <c r="B18" s="1" t="s">
        <v>28</v>
      </c>
      <c r="C18" s="1" t="s">
        <v>62</v>
      </c>
      <c r="D18" s="20" t="s">
        <v>37</v>
      </c>
      <c r="E18" s="3">
        <v>14</v>
      </c>
      <c r="F18" s="3">
        <v>4182</v>
      </c>
      <c r="G18" s="3">
        <v>3314</v>
      </c>
      <c r="H18" s="24">
        <v>1003</v>
      </c>
      <c r="I18" s="3">
        <v>722</v>
      </c>
      <c r="J18">
        <v>177</v>
      </c>
      <c r="K18">
        <v>868</v>
      </c>
      <c r="L18">
        <v>1926</v>
      </c>
      <c r="M18">
        <v>193</v>
      </c>
      <c r="N18">
        <v>89</v>
      </c>
      <c r="O18">
        <v>385</v>
      </c>
      <c r="P18">
        <v>633</v>
      </c>
      <c r="Q18">
        <v>89</v>
      </c>
      <c r="R18">
        <v>1</v>
      </c>
      <c r="S18">
        <v>2</v>
      </c>
    </row>
    <row r="19" spans="1:19" x14ac:dyDescent="0.25">
      <c r="A19" s="1"/>
      <c r="B19" s="1" t="s">
        <v>28</v>
      </c>
      <c r="C19" s="1" t="s">
        <v>62</v>
      </c>
      <c r="D19" s="1" t="s">
        <v>43</v>
      </c>
      <c r="E19" s="3">
        <v>14</v>
      </c>
      <c r="F19" s="3">
        <v>2153</v>
      </c>
      <c r="G19" s="3">
        <v>1792</v>
      </c>
      <c r="H19" s="3">
        <v>471</v>
      </c>
      <c r="I19" s="3">
        <v>263</v>
      </c>
      <c r="J19">
        <v>141</v>
      </c>
      <c r="K19">
        <v>362</v>
      </c>
      <c r="L19">
        <v>688</v>
      </c>
      <c r="M19">
        <v>193</v>
      </c>
      <c r="N19">
        <v>15</v>
      </c>
      <c r="O19">
        <v>633</v>
      </c>
      <c r="P19">
        <v>248</v>
      </c>
      <c r="Q19">
        <v>15</v>
      </c>
      <c r="R19">
        <v>1</v>
      </c>
      <c r="S19">
        <v>3</v>
      </c>
    </row>
    <row r="20" spans="1:19" x14ac:dyDescent="0.25">
      <c r="A20" s="1"/>
      <c r="B20" s="1" t="s">
        <v>28</v>
      </c>
      <c r="C20" s="1" t="s">
        <v>62</v>
      </c>
      <c r="D20" s="1" t="s">
        <v>48</v>
      </c>
      <c r="E20" s="3">
        <v>14</v>
      </c>
      <c r="F20" s="3">
        <v>1801</v>
      </c>
      <c r="G20" s="3">
        <v>1729</v>
      </c>
      <c r="H20" s="3">
        <v>408</v>
      </c>
      <c r="I20" s="3">
        <v>369</v>
      </c>
      <c r="J20">
        <v>28</v>
      </c>
      <c r="K20">
        <v>72</v>
      </c>
      <c r="L20">
        <v>1100</v>
      </c>
      <c r="M20">
        <v>28</v>
      </c>
      <c r="N20">
        <v>12</v>
      </c>
      <c r="O20">
        <v>220</v>
      </c>
      <c r="P20">
        <v>358</v>
      </c>
      <c r="Q20">
        <v>12</v>
      </c>
      <c r="R20">
        <v>0</v>
      </c>
      <c r="S20">
        <v>4</v>
      </c>
    </row>
    <row r="21" spans="1:19" x14ac:dyDescent="0.25">
      <c r="A21" s="1"/>
      <c r="B21" s="1" t="s">
        <v>28</v>
      </c>
      <c r="C21" s="1" t="s">
        <v>62</v>
      </c>
      <c r="D21" s="1" t="s">
        <v>50</v>
      </c>
      <c r="E21" s="3">
        <v>14</v>
      </c>
      <c r="F21" s="3">
        <v>3514</v>
      </c>
      <c r="G21" s="3">
        <v>1344</v>
      </c>
      <c r="H21" s="3">
        <v>188</v>
      </c>
      <c r="I21" s="3">
        <v>94</v>
      </c>
      <c r="J21">
        <v>0</v>
      </c>
      <c r="K21">
        <v>2170</v>
      </c>
      <c r="L21">
        <v>908</v>
      </c>
      <c r="M21">
        <v>83</v>
      </c>
      <c r="N21">
        <v>12</v>
      </c>
      <c r="O21">
        <v>248</v>
      </c>
      <c r="P21">
        <v>83</v>
      </c>
      <c r="Q21">
        <v>12</v>
      </c>
      <c r="R21">
        <v>0</v>
      </c>
      <c r="S21">
        <v>5</v>
      </c>
    </row>
    <row r="22" spans="1:19" x14ac:dyDescent="0.25">
      <c r="A22" s="1"/>
      <c r="B22" s="1" t="s">
        <v>28</v>
      </c>
      <c r="C22" s="1" t="s">
        <v>62</v>
      </c>
      <c r="D22" s="1" t="s">
        <v>84</v>
      </c>
      <c r="E22" s="3"/>
      <c r="F22" s="3">
        <f>SUM(F17:F21)</f>
        <v>25410</v>
      </c>
      <c r="G22" s="3">
        <f t="shared" ref="G22:H22" si="1">SUM(G17:G21)</f>
        <v>11522</v>
      </c>
      <c r="H22" s="3">
        <f t="shared" si="1"/>
        <v>2827</v>
      </c>
      <c r="I22" s="3">
        <v>3079</v>
      </c>
      <c r="J22">
        <v>805</v>
      </c>
      <c r="K22">
        <v>14902</v>
      </c>
      <c r="L22">
        <v>8804</v>
      </c>
      <c r="M22">
        <v>1242</v>
      </c>
      <c r="N22">
        <v>410</v>
      </c>
      <c r="O22">
        <v>2423</v>
      </c>
      <c r="P22">
        <v>2670</v>
      </c>
      <c r="Q22">
        <v>410</v>
      </c>
      <c r="R22">
        <v>6</v>
      </c>
      <c r="S22">
        <v>7</v>
      </c>
    </row>
    <row r="23" spans="1:19" x14ac:dyDescent="0.25">
      <c r="A23" s="1"/>
      <c r="B23" s="1"/>
      <c r="C23" s="1"/>
      <c r="D23" s="1"/>
      <c r="E23" s="3"/>
      <c r="F23" s="3"/>
      <c r="G23" s="3"/>
      <c r="H23" s="3"/>
      <c r="I23" s="3"/>
      <c r="S23">
        <v>8</v>
      </c>
    </row>
    <row r="24" spans="1:19" x14ac:dyDescent="0.25">
      <c r="A24" s="1" t="s">
        <v>91</v>
      </c>
      <c r="B24" s="1" t="s">
        <v>51</v>
      </c>
      <c r="C24" s="1" t="s">
        <v>27</v>
      </c>
      <c r="D24" s="25" t="s">
        <v>30</v>
      </c>
      <c r="E24" s="3">
        <v>77</v>
      </c>
      <c r="F24" s="3">
        <v>20542</v>
      </c>
      <c r="G24" s="3">
        <v>6291</v>
      </c>
      <c r="H24" s="26">
        <v>1476</v>
      </c>
      <c r="I24" s="3">
        <v>1198</v>
      </c>
      <c r="J24">
        <v>382</v>
      </c>
      <c r="K24">
        <v>0</v>
      </c>
      <c r="L24">
        <v>545</v>
      </c>
      <c r="M24">
        <v>235</v>
      </c>
      <c r="N24">
        <v>23</v>
      </c>
      <c r="O24">
        <v>135</v>
      </c>
      <c r="P24">
        <v>1175</v>
      </c>
      <c r="Q24">
        <v>23</v>
      </c>
      <c r="R24">
        <v>1</v>
      </c>
      <c r="S24">
        <v>1</v>
      </c>
    </row>
    <row r="25" spans="1:19" x14ac:dyDescent="0.25">
      <c r="A25" s="1" t="s">
        <v>96</v>
      </c>
      <c r="B25" s="1" t="s">
        <v>51</v>
      </c>
      <c r="C25" s="1" t="s">
        <v>27</v>
      </c>
      <c r="D25" s="20" t="s">
        <v>37</v>
      </c>
      <c r="E25" s="3">
        <v>77</v>
      </c>
      <c r="F25" s="3">
        <v>7511</v>
      </c>
      <c r="G25" s="3">
        <v>6281</v>
      </c>
      <c r="H25" s="24">
        <v>1962</v>
      </c>
      <c r="I25" s="3">
        <v>771</v>
      </c>
      <c r="J25">
        <v>29</v>
      </c>
      <c r="K25">
        <v>579</v>
      </c>
      <c r="L25">
        <v>605</v>
      </c>
      <c r="M25">
        <v>140</v>
      </c>
      <c r="N25">
        <v>120</v>
      </c>
      <c r="O25">
        <v>340</v>
      </c>
      <c r="P25">
        <v>650</v>
      </c>
      <c r="Q25">
        <v>120</v>
      </c>
      <c r="R25">
        <v>1</v>
      </c>
      <c r="S25">
        <v>2</v>
      </c>
    </row>
    <row r="26" spans="1:19" x14ac:dyDescent="0.25">
      <c r="A26" s="1"/>
      <c r="B26" s="1" t="s">
        <v>51</v>
      </c>
      <c r="C26" s="1" t="s">
        <v>27</v>
      </c>
      <c r="D26" s="1" t="s">
        <v>43</v>
      </c>
      <c r="E26" s="3">
        <v>77</v>
      </c>
      <c r="F26" s="3">
        <v>1576</v>
      </c>
      <c r="G26" s="3">
        <v>1576</v>
      </c>
      <c r="H26" s="3">
        <v>1081</v>
      </c>
      <c r="I26" s="3">
        <v>1208</v>
      </c>
      <c r="J26">
        <v>55</v>
      </c>
      <c r="K26">
        <v>53</v>
      </c>
      <c r="L26">
        <v>340</v>
      </c>
      <c r="M26">
        <v>170</v>
      </c>
      <c r="N26">
        <v>128</v>
      </c>
      <c r="O26">
        <v>120</v>
      </c>
      <c r="P26">
        <v>1080</v>
      </c>
      <c r="Q26">
        <v>128</v>
      </c>
      <c r="R26">
        <v>0</v>
      </c>
      <c r="S26">
        <v>3</v>
      </c>
    </row>
    <row r="27" spans="1:19" x14ac:dyDescent="0.25">
      <c r="A27" s="1"/>
      <c r="B27" s="1" t="s">
        <v>51</v>
      </c>
      <c r="C27" s="1" t="s">
        <v>27</v>
      </c>
      <c r="D27" s="1" t="s">
        <v>48</v>
      </c>
      <c r="E27" s="3">
        <v>77</v>
      </c>
      <c r="F27" s="3">
        <v>2153</v>
      </c>
      <c r="G27" s="3">
        <v>1792</v>
      </c>
      <c r="H27" s="3">
        <v>471</v>
      </c>
      <c r="I27" s="3">
        <v>1150</v>
      </c>
      <c r="J27">
        <v>38</v>
      </c>
      <c r="K27">
        <v>0</v>
      </c>
      <c r="L27">
        <v>115</v>
      </c>
      <c r="M27">
        <v>120</v>
      </c>
      <c r="N27">
        <v>255</v>
      </c>
      <c r="O27">
        <v>125</v>
      </c>
      <c r="P27">
        <v>895</v>
      </c>
      <c r="Q27">
        <v>255</v>
      </c>
      <c r="R27">
        <v>0</v>
      </c>
      <c r="S27">
        <v>4</v>
      </c>
    </row>
    <row r="28" spans="1:19" x14ac:dyDescent="0.25">
      <c r="A28" s="1"/>
      <c r="B28" s="1" t="s">
        <v>51</v>
      </c>
      <c r="C28" s="1" t="s">
        <v>27</v>
      </c>
      <c r="D28" s="1" t="s">
        <v>84</v>
      </c>
      <c r="E28" s="3"/>
      <c r="F28" s="3">
        <f>SUM(F24:F27)</f>
        <v>31782</v>
      </c>
      <c r="G28" s="3">
        <f>SUM(G24:G27)</f>
        <v>15940</v>
      </c>
      <c r="H28" s="3">
        <f>SUM(H24:H27)</f>
        <v>4990</v>
      </c>
      <c r="I28" s="3">
        <v>7351</v>
      </c>
      <c r="J28">
        <v>725</v>
      </c>
      <c r="K28">
        <v>1658</v>
      </c>
      <c r="L28">
        <v>2205</v>
      </c>
      <c r="M28">
        <v>820</v>
      </c>
      <c r="N28">
        <v>1135</v>
      </c>
      <c r="O28">
        <v>1610</v>
      </c>
      <c r="P28">
        <v>6215</v>
      </c>
      <c r="Q28">
        <v>1135</v>
      </c>
      <c r="R28">
        <v>5</v>
      </c>
      <c r="S28">
        <v>7</v>
      </c>
    </row>
    <row r="29" spans="1:19" x14ac:dyDescent="0.25">
      <c r="A29" s="1"/>
      <c r="B29" s="1"/>
      <c r="C29" s="1"/>
      <c r="D29" s="1"/>
      <c r="E29" s="3"/>
      <c r="F29" s="3"/>
      <c r="G29" s="3"/>
      <c r="H29" s="3"/>
      <c r="I29" s="3"/>
      <c r="S29">
        <v>8</v>
      </c>
    </row>
    <row r="30" spans="1:19" x14ac:dyDescent="0.25">
      <c r="A30" s="1" t="s">
        <v>92</v>
      </c>
      <c r="B30" s="1" t="s">
        <v>28</v>
      </c>
      <c r="C30" s="1" t="s">
        <v>62</v>
      </c>
      <c r="D30" s="25" t="s">
        <v>30</v>
      </c>
      <c r="E30" s="3">
        <v>21</v>
      </c>
      <c r="F30" s="3">
        <v>10588</v>
      </c>
      <c r="G30" s="3">
        <v>4029</v>
      </c>
      <c r="H30" s="26">
        <v>1168</v>
      </c>
      <c r="I30" s="3">
        <v>3382</v>
      </c>
      <c r="J30">
        <v>58</v>
      </c>
      <c r="K30">
        <v>241</v>
      </c>
      <c r="L30">
        <v>1889</v>
      </c>
      <c r="M30">
        <v>147</v>
      </c>
      <c r="N30">
        <v>26</v>
      </c>
      <c r="O30">
        <v>73</v>
      </c>
      <c r="P30">
        <v>3356</v>
      </c>
      <c r="Q30">
        <v>26</v>
      </c>
      <c r="R30">
        <v>1</v>
      </c>
      <c r="S30">
        <v>1</v>
      </c>
    </row>
    <row r="31" spans="1:19" x14ac:dyDescent="0.25">
      <c r="A31" s="1" t="s">
        <v>93</v>
      </c>
      <c r="B31" s="1" t="s">
        <v>28</v>
      </c>
      <c r="C31" s="1" t="s">
        <v>62</v>
      </c>
      <c r="D31" s="20" t="s">
        <v>37</v>
      </c>
      <c r="E31" s="3">
        <v>21</v>
      </c>
      <c r="F31" s="3">
        <v>3236</v>
      </c>
      <c r="G31" s="3">
        <v>3139</v>
      </c>
      <c r="H31" s="24">
        <v>2424</v>
      </c>
      <c r="I31" s="3">
        <v>3419</v>
      </c>
      <c r="J31">
        <v>734</v>
      </c>
      <c r="K31">
        <v>0</v>
      </c>
      <c r="L31">
        <v>935</v>
      </c>
      <c r="M31">
        <v>403</v>
      </c>
      <c r="N31">
        <v>44</v>
      </c>
      <c r="O31">
        <v>238</v>
      </c>
      <c r="P31">
        <v>3375</v>
      </c>
      <c r="Q31">
        <v>44</v>
      </c>
      <c r="R31">
        <v>3</v>
      </c>
      <c r="S31">
        <v>2</v>
      </c>
    </row>
    <row r="32" spans="1:19" x14ac:dyDescent="0.25">
      <c r="A32" s="1"/>
      <c r="B32" s="1" t="s">
        <v>28</v>
      </c>
      <c r="C32" s="1" t="s">
        <v>62</v>
      </c>
      <c r="D32" s="1" t="s">
        <v>43</v>
      </c>
      <c r="E32" s="3">
        <v>21</v>
      </c>
      <c r="F32" s="3">
        <v>5719</v>
      </c>
      <c r="G32" s="3">
        <v>5623</v>
      </c>
      <c r="H32" s="3">
        <v>4357</v>
      </c>
      <c r="I32" s="3">
        <v>245</v>
      </c>
      <c r="J32">
        <v>65</v>
      </c>
      <c r="K32">
        <v>5884</v>
      </c>
      <c r="L32">
        <v>1926</v>
      </c>
      <c r="M32">
        <v>385</v>
      </c>
      <c r="N32">
        <v>98</v>
      </c>
      <c r="O32">
        <v>0</v>
      </c>
      <c r="P32">
        <v>147</v>
      </c>
      <c r="Q32">
        <v>98</v>
      </c>
      <c r="R32">
        <v>2</v>
      </c>
      <c r="S32">
        <v>3</v>
      </c>
    </row>
    <row r="33" spans="1:19" x14ac:dyDescent="0.25">
      <c r="A33" s="1"/>
      <c r="B33" s="1" t="s">
        <v>28</v>
      </c>
      <c r="C33" s="1" t="s">
        <v>62</v>
      </c>
      <c r="D33" s="1" t="s">
        <v>48</v>
      </c>
      <c r="E33" s="3">
        <v>21</v>
      </c>
      <c r="F33" s="3">
        <v>1807</v>
      </c>
      <c r="G33" s="3">
        <v>1325</v>
      </c>
      <c r="H33" s="3">
        <v>830</v>
      </c>
      <c r="I33" s="3">
        <v>1159</v>
      </c>
      <c r="J33">
        <v>8</v>
      </c>
      <c r="K33">
        <v>0</v>
      </c>
      <c r="L33">
        <v>55</v>
      </c>
      <c r="M33">
        <v>128</v>
      </c>
      <c r="N33">
        <v>279</v>
      </c>
      <c r="O33">
        <v>0</v>
      </c>
      <c r="P33">
        <v>880</v>
      </c>
      <c r="Q33">
        <v>279</v>
      </c>
      <c r="R33">
        <v>0</v>
      </c>
      <c r="S33">
        <v>4</v>
      </c>
    </row>
    <row r="34" spans="1:19" x14ac:dyDescent="0.25">
      <c r="A34" s="1"/>
      <c r="B34" s="1" t="s">
        <v>28</v>
      </c>
      <c r="C34" s="1" t="s">
        <v>62</v>
      </c>
      <c r="D34" s="1" t="s">
        <v>50</v>
      </c>
      <c r="E34" s="3">
        <v>21</v>
      </c>
      <c r="F34" s="3">
        <v>5758</v>
      </c>
      <c r="G34" s="3">
        <v>5517</v>
      </c>
      <c r="H34" s="3">
        <v>3555</v>
      </c>
      <c r="I34" s="3">
        <v>773</v>
      </c>
      <c r="J34">
        <v>55</v>
      </c>
      <c r="K34">
        <v>482</v>
      </c>
      <c r="L34">
        <v>495</v>
      </c>
      <c r="M34">
        <v>37</v>
      </c>
      <c r="N34">
        <v>21</v>
      </c>
      <c r="O34">
        <v>0</v>
      </c>
      <c r="P34">
        <v>752</v>
      </c>
      <c r="Q34">
        <v>21</v>
      </c>
      <c r="R34">
        <v>1</v>
      </c>
      <c r="S34">
        <v>5</v>
      </c>
    </row>
    <row r="35" spans="1:19" x14ac:dyDescent="0.25">
      <c r="A35" s="1"/>
      <c r="B35" s="1"/>
      <c r="C35" s="1"/>
      <c r="D35" s="1" t="s">
        <v>84</v>
      </c>
      <c r="E35" s="3"/>
      <c r="F35" s="3">
        <f>SUM(F30:F34)</f>
        <v>27108</v>
      </c>
      <c r="G35" s="3">
        <f t="shared" ref="G35:H35" si="2">SUM(G30:G34)</f>
        <v>19633</v>
      </c>
      <c r="H35" s="3">
        <f t="shared" si="2"/>
        <v>12334</v>
      </c>
      <c r="I35" s="3">
        <v>9646</v>
      </c>
      <c r="J35">
        <v>998</v>
      </c>
      <c r="K35">
        <v>7378</v>
      </c>
      <c r="L35">
        <v>5885</v>
      </c>
      <c r="M35">
        <v>1173</v>
      </c>
      <c r="N35">
        <v>549</v>
      </c>
      <c r="O35">
        <v>348</v>
      </c>
      <c r="P35">
        <v>9094</v>
      </c>
      <c r="Q35">
        <v>549</v>
      </c>
      <c r="R35">
        <v>8</v>
      </c>
      <c r="S35">
        <v>7</v>
      </c>
    </row>
    <row r="36" spans="1:19" x14ac:dyDescent="0.25">
      <c r="Q36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full_spp_list</vt:lpstr>
      <vt:lpstr>summary of richness</vt:lpstr>
      <vt:lpstr>list of species</vt:lpstr>
      <vt:lpstr>percent point occupancy</vt:lpstr>
      <vt:lpstr>top 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cp:lastPrinted>2025-09-24T14:56:27Z</cp:lastPrinted>
  <dcterms:created xsi:type="dcterms:W3CDTF">2025-09-24T12:59:04Z</dcterms:created>
  <dcterms:modified xsi:type="dcterms:W3CDTF">2025-09-24T22:20:00Z</dcterms:modified>
</cp:coreProperties>
</file>